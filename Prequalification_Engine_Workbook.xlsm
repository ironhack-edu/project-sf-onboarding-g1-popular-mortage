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workbookPr codeName="ThisWorkbook" defaultThemeVersion="202300"/>
  <mc:AlternateContent xmlns:mc="http://schemas.openxmlformats.org/markup-compatibility/2006">
    <mc:Choice Requires="x15">
      <x15ac:absPath xmlns:x15ac="http://schemas.microsoft.com/office/spreadsheetml/2010/11/ac" url="https://bppr-my.sharepoint.com/personal/jorlys_alvaradomorales_popular_com/Documents/Escritorio/"/>
    </mc:Choice>
  </mc:AlternateContent>
  <xr:revisionPtr revIDLastSave="0" documentId="14_{5AD8F5B2-D0ED-4B6B-8B2B-BB6546AE3314}" xr6:coauthVersionLast="47" xr6:coauthVersionMax="47" xr10:uidLastSave="{00000000-0000-0000-0000-000000000000}"/>
  <bookViews>
    <workbookView xWindow="768" yWindow="768" windowWidth="17280" windowHeight="10044" tabRatio="832" xr2:uid="{0185BCE1-66E0-4AAD-A44E-C06BF612247F}"/>
  </bookViews>
  <sheets>
    <sheet name="Prequal Engine" sheetId="21" r:id="rId1"/>
    <sheet name="Letter_MultiOffer_FinalVA" sheetId="22" r:id="rId2"/>
    <sheet name="FHA_HUD Loan Limits Reference" sheetId="25" r:id="rId3"/>
    <sheet name="FHA Monthly MI" sheetId="26" r:id="rId4"/>
    <sheet name="Refinance" sheetId="11" r:id="rId5"/>
    <sheet name="No Prequal" sheetId="8" r:id="rId6"/>
    <sheet name="Msg Refi" sheetId="12"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9" i="22" l="1" a="1"/>
  <c r="C19" i="22" s="1"/>
  <c r="C15" i="22"/>
  <c r="P225" i="21"/>
  <c r="I27" i="26"/>
  <c r="I26" i="26"/>
  <c r="P6" i="26"/>
  <c r="I25" i="26"/>
  <c r="I24" i="26"/>
  <c r="I14" i="26"/>
  <c r="I15" i="26"/>
  <c r="I16" i="26"/>
  <c r="I17" i="26"/>
  <c r="I18" i="26"/>
  <c r="I19" i="26"/>
  <c r="I20" i="26"/>
  <c r="I21" i="26"/>
  <c r="I22" i="26"/>
  <c r="I23" i="26"/>
  <c r="I13" i="26"/>
  <c r="P4" i="26"/>
  <c r="H8" i="26"/>
  <c r="I12" i="26"/>
  <c r="H6" i="26"/>
  <c r="H4" i="26"/>
  <c r="R120" i="21"/>
  <c r="V130" i="21"/>
  <c r="P199" i="21" s="1"/>
  <c r="G126" i="21"/>
  <c r="Y199" i="21"/>
  <c r="G130" i="21"/>
  <c r="C13" i="22" l="1"/>
  <c r="G129" i="21" l="1"/>
  <c r="G128" i="21"/>
  <c r="G127" i="21"/>
  <c r="G125" i="21"/>
  <c r="G124" i="21"/>
  <c r="G122" i="21"/>
  <c r="G121" i="21"/>
  <c r="G123" i="21"/>
  <c r="G120" i="21"/>
  <c r="G119" i="21"/>
  <c r="G154" i="21" l="1"/>
  <c r="P154" i="21"/>
  <c r="Y154" i="21"/>
  <c r="G156" i="21"/>
  <c r="P156" i="21"/>
  <c r="Y156" i="21"/>
  <c r="G148" i="21"/>
  <c r="G215" i="21" s="1"/>
  <c r="P148" i="21"/>
  <c r="Y148" i="21"/>
  <c r="G152" i="21"/>
  <c r="P152" i="21"/>
  <c r="Y152" i="21"/>
  <c r="G150" i="21"/>
  <c r="P150" i="21"/>
  <c r="Y150" i="21"/>
  <c r="G162" i="21"/>
  <c r="Y162" i="21"/>
  <c r="P162" i="21"/>
  <c r="Y165" i="21"/>
  <c r="P165" i="21"/>
  <c r="G165" i="21"/>
  <c r="Y196" i="21" l="1"/>
  <c r="Y201" i="21" s="1"/>
  <c r="Y217" i="21"/>
  <c r="G196" i="21"/>
  <c r="G201" i="21" s="1"/>
  <c r="G204" i="21" s="1"/>
  <c r="G207" i="21" s="1"/>
  <c r="G218" i="21" s="1"/>
  <c r="P228" i="21"/>
  <c r="P196" i="21"/>
  <c r="P201" i="21" l="1"/>
  <c r="P209" i="21"/>
  <c r="Y209" i="21"/>
  <c r="Y220" i="21" s="1"/>
  <c r="Y227" i="21" s="1"/>
  <c r="Y233" i="21" s="1"/>
  <c r="G225" i="21"/>
  <c r="G228" i="21"/>
  <c r="G240" i="21" s="1"/>
  <c r="G264" i="21" s="1"/>
  <c r="Y230" i="21" l="1"/>
  <c r="Y242" i="21" s="1"/>
  <c r="Y264" i="21" s="1"/>
  <c r="Y172" i="21" s="1"/>
  <c r="G172" i="21"/>
  <c r="G186" i="21" s="1"/>
  <c r="P217" i="21"/>
  <c r="P231" i="21" s="1"/>
  <c r="Y180" i="21" l="1"/>
  <c r="J28" i="22" s="1"/>
  <c r="J29" i="22" s="1"/>
  <c r="Y186" i="21"/>
  <c r="P239" i="21"/>
  <c r="P245" i="21" s="1"/>
  <c r="P242" i="21"/>
  <c r="P254" i="21" s="1"/>
  <c r="Y182" i="21"/>
  <c r="J30" i="22" s="1"/>
  <c r="Y176" i="21"/>
  <c r="Y184" i="21"/>
  <c r="G182" i="21"/>
  <c r="K30" i="22" s="1"/>
  <c r="K31" i="22" s="1"/>
  <c r="G184" i="21"/>
  <c r="G180" i="21"/>
  <c r="K28" i="22" s="1"/>
  <c r="K29" i="22" s="1"/>
  <c r="G176" i="21"/>
  <c r="K26" i="22" s="1"/>
  <c r="Y178" i="21" l="1"/>
  <c r="J31" i="22" s="1"/>
  <c r="J26" i="22"/>
  <c r="K27" i="22"/>
  <c r="K24" i="22"/>
  <c r="P264" i="21"/>
  <c r="P172" i="21" s="1"/>
  <c r="P186" i="21" s="1"/>
  <c r="J27" i="22" l="1"/>
  <c r="J24" i="22"/>
  <c r="P184" i="21"/>
  <c r="P176" i="21"/>
  <c r="P182" i="21"/>
  <c r="I30" i="22" s="1"/>
  <c r="P180" i="21"/>
  <c r="I28" i="22" s="1"/>
  <c r="I27" i="22" l="1"/>
  <c r="I29" i="22"/>
  <c r="P178" i="21"/>
  <c r="I31" i="22" s="1"/>
  <c r="I26" i="22"/>
  <c r="I24" i="2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<sst xmlns="http://schemas.openxmlformats.org/spreadsheetml/2006/main" count="784" uniqueCount="328">
  <si>
    <t>State</t>
  </si>
  <si>
    <t>Loan Type</t>
  </si>
  <si>
    <t>APR</t>
  </si>
  <si>
    <t>FHA</t>
  </si>
  <si>
    <t>Term (Years)</t>
  </si>
  <si>
    <t>Interest Rate</t>
  </si>
  <si>
    <t>Table 1. Weekly Offers</t>
  </si>
  <si>
    <t>N/A</t>
  </si>
  <si>
    <t>VA</t>
  </si>
  <si>
    <t>Process: Pre-qualification Letter Engine</t>
  </si>
  <si>
    <t>En Popular Mortgage estamos para orientarte.</t>
  </si>
  <si>
    <t>Favor de completar la siguiente información.</t>
  </si>
  <si>
    <t>Todos los campos con (*) son requeridos.</t>
  </si>
  <si>
    <t>Tipo de transacción</t>
  </si>
  <si>
    <t>Refinanciar</t>
  </si>
  <si>
    <t>Sobre la propiedad</t>
  </si>
  <si>
    <t>¿Qué interesas hacer?*</t>
  </si>
  <si>
    <t>¿En qué etapa te encuentras?*</t>
  </si>
  <si>
    <t>Precio estimado de la propiedad:*</t>
  </si>
  <si>
    <t>Esta propiedad será mi:*</t>
  </si>
  <si>
    <t>Residencia Principal</t>
  </si>
  <si>
    <t>Información personal</t>
  </si>
  <si>
    <t>Nombre*</t>
  </si>
  <si>
    <t>Apellidos*</t>
  </si>
  <si>
    <t>Número Celular*</t>
  </si>
  <si>
    <t>Correo Electrónico*</t>
  </si>
  <si>
    <t>Deudas Mensuales ($)*</t>
  </si>
  <si>
    <t>Ingreso Mensual ($)*</t>
  </si>
  <si>
    <t>¿Cuál es tu fuente principal de ingreso?*</t>
  </si>
  <si>
    <t>Veterano*</t>
  </si>
  <si>
    <t>Pago Mensual de Pensión Alimenticia ($) (si aplica)</t>
  </si>
  <si>
    <t>¿Habrá un co-solicitante en su transacción?*</t>
  </si>
  <si>
    <t>Información de co-solicitante, si aplica</t>
  </si>
  <si>
    <t>Nombre de co-solicitante*</t>
  </si>
  <si>
    <t>Apellidos de co-solicitante*</t>
  </si>
  <si>
    <t>¿Cuál la fuente principal de ingreso del co-solicitante?*</t>
  </si>
  <si>
    <t>Ingreso Mensual del co-solicitante($)*</t>
  </si>
  <si>
    <t>Deudas Mensuales del co-solicitante ($)*</t>
  </si>
  <si>
    <t>Autorizo a Popular a contactarme por teléfono, mensaje de texto o correo electrónico, según especificado aquí.</t>
  </si>
  <si>
    <t>reCAPTCHA ayuda a prevenir el spam automatizado en los formularios.</t>
  </si>
  <si>
    <t>El botón Enviar estará deshabilitado hasta que complete el CAPTCHA.</t>
  </si>
  <si>
    <t>OCIF Lic. B-1. Popular Mortgage es una división de Banco Popular de Puerto Rico. Sujeto a aprobación de crédito.  Producto es ofrecido por Popular, Inc. </t>
  </si>
  <si>
    <t>ESP Version</t>
  </si>
  <si>
    <t>Loan Type:</t>
  </si>
  <si>
    <t>Sales Price ($):</t>
  </si>
  <si>
    <t>Interest Rate:</t>
  </si>
  <si>
    <t>Front Ratio (Housing Ration)</t>
  </si>
  <si>
    <t>Back Ratio (Debts Ratio)</t>
  </si>
  <si>
    <t>Jorlys</t>
  </si>
  <si>
    <t>Alvarado Morales</t>
  </si>
  <si>
    <t>MORTG-162 Rev. 11/2023</t>
  </si>
  <si>
    <t>Le agradecemos por su interés en comenzar la ruta hacia sus sueños en Popular Mortgage.</t>
  </si>
  <si>
    <t xml:space="preserve">Con la informacion provista en el formulario no podemos generar una carta de pre-calificación en estós momentos. Para conocer más opciones para su solicitud puede comuncarse con uno de nuestros representante de servicio al 787-000-0000 de lunes a viernes, de 8:00am - 5:00pm. </t>
  </si>
  <si>
    <t>Convencional</t>
  </si>
  <si>
    <t xml:space="preserve">Gracias por compartirnos tu informacion. Uno de nuestros representantes se estará comunicando contigo. 
Para conocer más opciones para su solicitud puede comuncarse con uno de nuestros representante de servicio al 787-000-0000 de lunes a viernes, de 8:00am - 5:00pm. </t>
  </si>
  <si>
    <t xml:space="preserve">Comprar </t>
  </si>
  <si>
    <t>Formulario de Información para Refinanciamiento:</t>
  </si>
  <si>
    <r>
      <rPr>
        <b/>
        <sz val="14"/>
        <color theme="1"/>
        <rFont val="Aptos Narrow"/>
        <family val="2"/>
        <scheme val="minor"/>
      </rPr>
      <t xml:space="preserve">Step 1: </t>
    </r>
    <r>
      <rPr>
        <sz val="14"/>
        <color theme="1"/>
        <rFont val="Aptos Narrow"/>
        <family val="2"/>
        <scheme val="minor"/>
      </rPr>
      <t>Customers will access the digital pre-qualification letter page  through Popular Mortgage's website: popularMortgage.com</t>
    </r>
  </si>
  <si>
    <r>
      <t xml:space="preserve">Step 2: </t>
    </r>
    <r>
      <rPr>
        <sz val="14"/>
        <color theme="1"/>
        <rFont val="Aptos Narrow"/>
        <family val="2"/>
        <scheme val="minor"/>
      </rPr>
      <t>Customer Pre-qualification Letter - Form</t>
    </r>
  </si>
  <si>
    <t>DISCLAIMERS / LEGALES</t>
  </si>
  <si>
    <t xml:space="preserve">Jorlys </t>
  </si>
  <si>
    <t>Alvarado</t>
  </si>
  <si>
    <t>Ya encontré una propiedad</t>
  </si>
  <si>
    <t>jorlys.isela@gmail.com</t>
  </si>
  <si>
    <t>Salario</t>
  </si>
  <si>
    <t>jorlys.alvaradomorales@popular.com</t>
  </si>
  <si>
    <t>ID:PREQUALLETTER</t>
  </si>
  <si>
    <t>¹Popular Mortgage is a division of Banco Popular de Puerto Rico.  2Estimated principal and interest payment does not include insurance and taxes and will be higher. 3Properties located in condominiums may be subject to other eligibility and qualification requirements.  4In order to process this pre-qualification, we have not requested or obtained information about your assets and credit history, so this information was not considered, and if considered, the result of this pre-qualification may vary at the time of your mortgage loan application.  This process is not a complete or comprehensive analysis of your creditworthiness and/or ability to repay. 5This pre-qualification is not intended to, nor does it confer any rights or privileges on any third party, including, but not limited to real estate brokers or the seller of a property. 6If you obtain a minimum representative credit score of less than 740 at the time of application, other terms and conditions may apply. 7To keep you informed of the interest rate changes, you can contact your Mortgage Consultant.  The interest rate and APR will be set at the time of loan application approval.  8The estimated loan amount information in this pre-qualification does not consider your approximate cash down payment and closing costs, required for the transaction.</t>
  </si>
  <si>
    <t>Thank you for selecting us in your purchase process!</t>
  </si>
  <si>
    <t>Cordially,</t>
  </si>
  <si>
    <t>Term</t>
  </si>
  <si>
    <t>Annual Percentage Rate (APR)</t>
  </si>
  <si>
    <r>
      <t>Estimated Principal and Interest Payment</t>
    </r>
    <r>
      <rPr>
        <b/>
        <vertAlign val="superscript"/>
        <sz val="14"/>
        <color theme="1"/>
        <rFont val="Aptos Narrow"/>
        <family val="2"/>
        <scheme val="minor"/>
      </rPr>
      <t>2</t>
    </r>
  </si>
  <si>
    <t>Loan Amount </t>
  </si>
  <si>
    <r>
      <t xml:space="preserve">We are pleased to inform you that based on the information preliminarily provided, you have been pre-qualified for a mortgage loan with </t>
    </r>
    <r>
      <rPr>
        <b/>
        <sz val="14"/>
        <color theme="1"/>
        <rFont val="Aptos Narrow"/>
        <family val="2"/>
        <scheme val="minor"/>
      </rPr>
      <t>Popular Mortgage</t>
    </r>
    <r>
      <rPr>
        <b/>
        <vertAlign val="superscript"/>
        <sz val="14"/>
        <color theme="1"/>
        <rFont val="Aptos Narrow"/>
        <family val="2"/>
        <scheme val="minor"/>
      </rPr>
      <t>1</t>
    </r>
    <r>
      <rPr>
        <b/>
        <sz val="14"/>
        <color theme="1"/>
        <rFont val="Aptos Narrow"/>
        <family val="2"/>
        <scheme val="minor"/>
      </rPr>
      <t xml:space="preserve"> </t>
    </r>
    <r>
      <rPr>
        <sz val="14"/>
        <color theme="1"/>
        <rFont val="Aptos Narrow"/>
        <family val="2"/>
        <scheme val="minor"/>
      </rPr>
      <t>under the following terms and conditions:</t>
    </r>
  </si>
  <si>
    <r>
      <t>Valor Estimado de Pago Mensual de Mantenimiento (HOA) de Propiedad a Adquirir ($)</t>
    </r>
    <r>
      <rPr>
        <sz val="10"/>
        <color theme="1"/>
        <rFont val="Aptos"/>
        <family val="2"/>
      </rPr>
      <t> </t>
    </r>
  </si>
  <si>
    <t>Valor Estimado de Pago Mensual de Impuestos a la Propiedad (CRIM) de Propiedad a Adquirir ($) </t>
  </si>
  <si>
    <t>Municipio en donde esperas adquirir la propiedad:*</t>
  </si>
  <si>
    <t>IN</t>
  </si>
  <si>
    <t>The property municipality:</t>
  </si>
  <si>
    <t xml:space="preserve">This property Will be my:    </t>
  </si>
  <si>
    <t>Estimated Property Tax (CRIM) Monthly Payment ($) [Optional]:</t>
  </si>
  <si>
    <t>Estimated Property Maintenance (HOA) Monthly Payment ($) [Optional]:</t>
  </si>
  <si>
    <t>Applicant’s Monthly Income ($):</t>
  </si>
  <si>
    <t>Co-applicant’s Monthly Income ($):</t>
  </si>
  <si>
    <t>Applicant’s Monthly Debts ($):</t>
  </si>
  <si>
    <t>Applicant's Monthly Alimony Payment ($):</t>
  </si>
  <si>
    <t>Co-applicant’s Monthly Debts ($):</t>
  </si>
  <si>
    <t>Co-applicant's Monthly Alimony Payment ($):</t>
  </si>
  <si>
    <r>
      <t xml:space="preserve">         </t>
    </r>
    <r>
      <rPr>
        <b/>
        <sz val="14"/>
        <color theme="1"/>
        <rFont val="Aptos Display"/>
        <family val="2"/>
      </rPr>
      <t>I. Pre-qualification Form Information:</t>
    </r>
  </si>
  <si>
    <t>Sí</t>
  </si>
  <si>
    <t>Isela</t>
  </si>
  <si>
    <t>Servicios Profesionales o Trabajo por Cuenta Propia</t>
  </si>
  <si>
    <t>         II. Predetermined Data (PD):</t>
  </si>
  <si>
    <t>Loan Term (Months):</t>
  </si>
  <si>
    <t>MONTHS</t>
  </si>
  <si>
    <t>Product Loan to Value (LTV) Percentage (%):</t>
  </si>
  <si>
    <t>Table 2. loan-to-Value per Loan Type</t>
  </si>
  <si>
    <t>FHA (San Juan)</t>
  </si>
  <si>
    <t>Upfront Mortgage Insurance (MI) Percentage (%):</t>
  </si>
  <si>
    <t>Annual Hazard Insurance Percentage (%):</t>
  </si>
  <si>
    <t>Convencional (Freddie Mac)</t>
  </si>
  <si>
    <t>Table 3. DTI Parameters (Front-Ratio)</t>
  </si>
  <si>
    <t>Table 4. DTI Parameters (Back-Ratio)</t>
  </si>
  <si>
    <t>Product Front-end (Housing) Ratio Limit (%):</t>
  </si>
  <si>
    <t>Product Back-end (Debts) Ratio Limit (%):</t>
  </si>
  <si>
    <t>         III. Scenarios by Product (Loan Type)</t>
  </si>
  <si>
    <t>VA Guarantee Fee Percentage (%):</t>
  </si>
  <si>
    <t>Property Taxes (CRIM) Monthly Payment ($)</t>
  </si>
  <si>
    <t>A. About the Property</t>
  </si>
  <si>
    <t>Property will be:</t>
  </si>
  <si>
    <t>City / Municipality:</t>
  </si>
  <si>
    <t>Units</t>
  </si>
  <si>
    <t>Units:</t>
  </si>
  <si>
    <t>B. About the Applicant(s)</t>
  </si>
  <si>
    <t>Property Maintenance (HOA) Monthly Payment ($):</t>
  </si>
  <si>
    <t xml:space="preserve">Total Monthly Income Amount ($): 
</t>
  </si>
  <si>
    <t>[Applicant’s Monthly Income ($)] + [Co-applicant’s Monthly Income ($)]</t>
  </si>
  <si>
    <t xml:space="preserve">Total Monthly Liabilities Amount ($): </t>
  </si>
  <si>
    <t xml:space="preserve">[Applicant’s Monthly Debts ($)] + [Applicant's Monthly Alimony Payment ($)] + </t>
  </si>
  <si>
    <t>[Co-applicant’s Monthly Debts ($)] + [Co-Applicant's Monthly Alimony Payment ($)]</t>
  </si>
  <si>
    <t>C. Prequalification Status (Decision Results)</t>
  </si>
  <si>
    <t>Pre-qualification Decision Results:</t>
  </si>
  <si>
    <t>Details:</t>
  </si>
  <si>
    <t>Term (Months)</t>
  </si>
  <si>
    <t>Total Payment Amount ($)</t>
  </si>
  <si>
    <t>Monthly Housing &amp; MI Payment ($)</t>
  </si>
  <si>
    <t>Interest Rate (%)</t>
  </si>
  <si>
    <t>Required Down Payment ($)</t>
  </si>
  <si>
    <t>Prequalification Max loan Amount ($)</t>
  </si>
  <si>
    <t>         IV. Scenarios Calculations by Product (Loan Type)</t>
  </si>
  <si>
    <t xml:space="preserve">Base Loan Amount ($): </t>
  </si>
  <si>
    <t>[Sales Price ($)]*[Product Loan to Value (LTV) Percentage (%)]</t>
  </si>
  <si>
    <t xml:space="preserve">Total Loan Amount ($): </t>
  </si>
  <si>
    <t xml:space="preserve">Monthly Principal &amp; Interest (P&amp;I) Amount ($): </t>
  </si>
  <si>
    <t>PMT (rate, nper, pv, [fv], [type])</t>
  </si>
  <si>
    <t>VA Guarantee Fee Amount ($):</t>
  </si>
  <si>
    <t>[Base Loan Amount]*[VA Guarantee Fee Percentage (%)]</t>
  </si>
  <si>
    <t>o   Rate = [Interest Rate (%)] / 12</t>
  </si>
  <si>
    <t>o   Nper = [Loan Term (months)]</t>
  </si>
  <si>
    <t>o   Pv= [Total Loan Amount ($)]</t>
  </si>
  <si>
    <t>o   [fv] = blank</t>
  </si>
  <si>
    <t>o   Type = 0</t>
  </si>
  <si>
    <t xml:space="preserve">Monthly Hazard Insurance Payment ($): </t>
  </si>
  <si>
    <t>[Sales Price Amount ($)]*{[Annual Hazard Insurance Percentage (%)]/12}</t>
  </si>
  <si>
    <t xml:space="preserve">Total Monthly Payment Amount ($): </t>
  </si>
  <si>
    <t>[Monthly Principal &amp; Interest (P&amp;I) Amount ($)] + [HOA Amount ($)] +</t>
  </si>
  <si>
    <t>A. Loan Information</t>
  </si>
  <si>
    <t>B. Front-end (Housing) &amp; Back-end (Debts) Ratios:</t>
  </si>
  <si>
    <t>[Base Loan Amount ($)] + [VA Guarantee Fee Amount ($)]</t>
  </si>
  <si>
    <t xml:space="preserve">Applicant(s) Front-end (Housing) Ratio (%): </t>
  </si>
  <si>
    <t>[Total Monthly Payment Amount ($)] / [Total Monthly Income Amount ($)]</t>
  </si>
  <si>
    <t xml:space="preserve">Applicant(s) Back-end (Debts) Ratio (%): </t>
  </si>
  <si>
    <t>{[Total Monthly Payment Amount ($)] + [Total Monthly Liabilities Amount ($)]} / [Total Monthly Income Amount ($)]</t>
  </si>
  <si>
    <t>[Monthly Property Tax (CRIM) Payment ($)] + [Monthly Hazard Insurance Payment ($)]</t>
  </si>
  <si>
    <t xml:space="preserve">Applicant(s) vs. Product Front-end Ratios Result: </t>
  </si>
  <si>
    <t>IF [Loan Type] = FHA, Conventional (Freddie Mac)</t>
  </si>
  <si>
    <t>THEN</t>
  </si>
  <si>
    <t xml:space="preserve"> ‘PASS’</t>
  </si>
  <si>
    <t>ELSE</t>
  </si>
  <si>
    <t xml:space="preserve"> ‘FAIL’</t>
  </si>
  <si>
    <t>END</t>
  </si>
  <si>
    <r>
      <t>AND [</t>
    </r>
    <r>
      <rPr>
        <b/>
        <sz val="11"/>
        <color theme="4" tint="-0.249977111117893"/>
        <rFont val="Aptos Display"/>
        <family val="2"/>
      </rPr>
      <t>Applicant(s) Front-end (Housing) Ratio (%)</t>
    </r>
    <r>
      <rPr>
        <sz val="11"/>
        <color theme="4" tint="-0.249977111117893"/>
        <rFont val="Aptos Display"/>
        <family val="2"/>
      </rPr>
      <t>] &lt;= [</t>
    </r>
    <r>
      <rPr>
        <b/>
        <sz val="11"/>
        <color theme="4" tint="-0.249977111117893"/>
        <rFont val="Aptos Display"/>
        <family val="2"/>
      </rPr>
      <t xml:space="preserve">Product Front-end (Housing) Ratio Limit </t>
    </r>
    <r>
      <rPr>
        <sz val="11"/>
        <color theme="4" tint="-0.249977111117893"/>
        <rFont val="Aptos Display"/>
        <family val="2"/>
      </rPr>
      <t xml:space="preserve">(%)] </t>
    </r>
  </si>
  <si>
    <t xml:space="preserve">Applicant(s) vs. Product Back-end Ratios Result: </t>
  </si>
  <si>
    <t>IF [Loan Type] = FHA, Conventional (Freddie Mac), VA</t>
  </si>
  <si>
    <r>
      <t>AND[</t>
    </r>
    <r>
      <rPr>
        <b/>
        <sz val="11"/>
        <color theme="4" tint="-0.249977111117893"/>
        <rFont val="Aptos Display"/>
        <family val="2"/>
      </rPr>
      <t>Applicant(s) Back-end (Debts) Ratio (%)</t>
    </r>
    <r>
      <rPr>
        <sz val="11"/>
        <color theme="4" tint="-0.249977111117893"/>
        <rFont val="Aptos Display"/>
        <family val="2"/>
      </rPr>
      <t>] &lt;= [</t>
    </r>
    <r>
      <rPr>
        <b/>
        <sz val="11"/>
        <color theme="4" tint="-0.249977111117893"/>
        <rFont val="Aptos Display"/>
        <family val="2"/>
      </rPr>
      <t>Product Back-end (Debts) Ratio Limit (%)</t>
    </r>
    <r>
      <rPr>
        <sz val="11"/>
        <color theme="4" tint="-0.249977111117893"/>
        <rFont val="Aptos Display"/>
        <family val="2"/>
      </rPr>
      <t xml:space="preserve">] </t>
    </r>
  </si>
  <si>
    <t>IF [Loan Type] = FHA</t>
  </si>
  <si>
    <t xml:space="preserve"> ‘Prequalified’</t>
  </si>
  <si>
    <t xml:space="preserve"> ‘Not Prequalified’</t>
  </si>
  <si>
    <t>AND  [Applicant(s) vs. Product Front-end Ratios Result] = “PASS”</t>
  </si>
  <si>
    <t>AND [Applicant(s) vs. Product Back-end Ratios Result] = “PASS”</t>
  </si>
  <si>
    <t>FHA Purchase Primary</t>
  </si>
  <si>
    <t>CONV FHLMC</t>
  </si>
  <si>
    <t>CONV</t>
  </si>
  <si>
    <t xml:space="preserve">Upfront Mortgage Insurance (MI) Amount ($): </t>
  </si>
  <si>
    <t xml:space="preserve">Monthly Mortgage Insurance (MI) Amount ($): </t>
  </si>
  <si>
    <r>
      <t>The pre-qualification determination is a preliminary, illustrative estimate of the loan amount for which you may be eligible to borrow, based on unverified income and debt information, provided verbally during a previous conversation4. Any information presented in false, inaccurate, incomplete, or incorrect manner will invalidate this pre-qualification. This pre-qualification letter is not, nor does it constitute an approval, guarantee or commitment by Popular Mortgage to grant a loan</t>
    </r>
    <r>
      <rPr>
        <vertAlign val="superscript"/>
        <sz val="14"/>
        <color theme="1"/>
        <rFont val="Aptos Narrow"/>
        <family val="2"/>
        <scheme val="minor"/>
      </rPr>
      <t>5</t>
    </r>
    <r>
      <rPr>
        <sz val="14"/>
        <color theme="1"/>
        <rFont val="Aptos Narrow"/>
        <family val="2"/>
        <scheme val="minor"/>
      </rPr>
      <t>. To be evaluated for credit approval, you must complete a loan application, and provide the required documentation of income, debts and assets. Also, you must comply with all credit and collateral requirements established by the agencies, investors, guarantors and Popular Mortgage's credit policy, including but not limited to an appraisal, title search and property tax information.
This pre-qualification assumes your minimum representative credit score is 7406. The interest rate and APR included in this pre-qualification are valid for 24 hours and fluctuate daily, without notice7, according to financial market conditions.
Closing costs and the amount of the down payment required8 may vary, depending on the type of product or program you select and your credit score at the time you formally apply to obtain a mortgage loan.
This pre-qualification letter will be valid for thirty (30) calendar days from the date it was issued. We are available to guide you on mortgage financing options.</t>
    </r>
  </si>
  <si>
    <t>IF [Loan Type] = VA</t>
  </si>
  <si>
    <t>IF [Loan Type] = Conventional (Freddie Mac)</t>
  </si>
  <si>
    <t xml:space="preserve">Veteran </t>
  </si>
  <si>
    <t>Table 5. Investor Limits - Loan Amount</t>
  </si>
  <si>
    <t>Maximum Loan Amount ($)  - 1 Unit</t>
  </si>
  <si>
    <t>LTV (1 Unit)</t>
  </si>
  <si>
    <t>Loan Amount Limit by Investor / Product (Loan Type) for 1 Unit Property</t>
  </si>
  <si>
    <t>IF [Base Loan Amount ($)] &gt; [Product Loan Amount Limit ($)]</t>
  </si>
  <si>
    <t xml:space="preserve">             [Product Loan Amount Limit ($)]</t>
  </si>
  <si>
    <t xml:space="preserve">              [Base Loan Amount ($)]</t>
  </si>
  <si>
    <t>Product Loan Amount Limit ($):</t>
  </si>
  <si>
    <t xml:space="preserve">            [Product Loan Amount Limit ($)]*[Upfront MI (%)]</t>
  </si>
  <si>
    <t xml:space="preserve">            [Base Loan Amount ($)]*[Upfront MI (%)]</t>
  </si>
  <si>
    <t xml:space="preserve">            [Base Loan Amount ($)] + [Upfront Mortgage Insurance (MI) Amount ($)]</t>
  </si>
  <si>
    <t xml:space="preserve">            [Product Loan Amount Limit ($)] + [Upfront Mortgage Insurance (MI) Amount ($)]</t>
  </si>
  <si>
    <t>[Monthly Property Tax (CRIM) Payment ($)] + [Monthly Hazard Insurance Payment ($)] +</t>
  </si>
  <si>
    <t>[Monthly Mortgage Insurance (MI) Amount ($)]</t>
  </si>
  <si>
    <t>MSA Name</t>
  </si>
  <si>
    <t>MSA Code</t>
  </si>
  <si>
    <t>County Name</t>
  </si>
  <si>
    <t>County</t>
  </si>
  <si>
    <t>One-Family</t>
  </si>
  <si>
    <t>Two-Family</t>
  </si>
  <si>
    <t>Three-Family</t>
  </si>
  <si>
    <t>Four-Family</t>
  </si>
  <si>
    <t>Median Sale Price</t>
  </si>
  <si>
    <t>Last Revised</t>
  </si>
  <si>
    <t>Limit Year</t>
  </si>
  <si>
    <t>Code</t>
  </si>
  <si>
    <t>PONCE, PR</t>
  </si>
  <si>
    <t>ADJUNTAS</t>
  </si>
  <si>
    <t>PR</t>
  </si>
  <si>
    <t>CY2024</t>
  </si>
  <si>
    <t>AGUADILLA-ISABELA, PR</t>
  </si>
  <si>
    <t>AGUADA</t>
  </si>
  <si>
    <t>AGUADILLA</t>
  </si>
  <si>
    <t>SAN JUAN-BAYAMON-CAGUAS, PR</t>
  </si>
  <si>
    <t>AGUAS BUENAS</t>
  </si>
  <si>
    <t>AIBONITO</t>
  </si>
  <si>
    <t>ANASCO</t>
  </si>
  <si>
    <t>ARECIBO, PR</t>
  </si>
  <si>
    <t>ARECIBO</t>
  </si>
  <si>
    <t>GUAYAMA, PR</t>
  </si>
  <si>
    <t>ARROYO</t>
  </si>
  <si>
    <t>BARCELONETA</t>
  </si>
  <si>
    <t>BARRANQUITAS</t>
  </si>
  <si>
    <t>BAYAMON</t>
  </si>
  <si>
    <t>SAN GERMAN, PR</t>
  </si>
  <si>
    <t>CABO ROJO</t>
  </si>
  <si>
    <t>CAGUAS</t>
  </si>
  <si>
    <t>CAMUY</t>
  </si>
  <si>
    <t>CANOVANAS</t>
  </si>
  <si>
    <t>CAROLINA</t>
  </si>
  <si>
    <t>CATANO</t>
  </si>
  <si>
    <t>CAYEY</t>
  </si>
  <si>
    <t>CEIBA</t>
  </si>
  <si>
    <t>CIALES</t>
  </si>
  <si>
    <t>CIDRA</t>
  </si>
  <si>
    <t>COAMO, PR</t>
  </si>
  <si>
    <t>COAMO</t>
  </si>
  <si>
    <t>COMERIO</t>
  </si>
  <si>
    <t>COROZAL</t>
  </si>
  <si>
    <t>NON-METRO</t>
  </si>
  <si>
    <t>CULEBRA</t>
  </si>
  <si>
    <t>DORADO</t>
  </si>
  <si>
    <t>FAJARDO</t>
  </si>
  <si>
    <t>FLORIDA</t>
  </si>
  <si>
    <t>YAUCO, PR</t>
  </si>
  <si>
    <t>GUANICA</t>
  </si>
  <si>
    <t>GUAYAMA</t>
  </si>
  <si>
    <t>GUAYANILLA</t>
  </si>
  <si>
    <t>GUAYNABO</t>
  </si>
  <si>
    <t>GURABO</t>
  </si>
  <si>
    <t>HATILLO</t>
  </si>
  <si>
    <t>MAYAGUEZ, PR</t>
  </si>
  <si>
    <t>HORMIGUEROS</t>
  </si>
  <si>
    <t>HUMACAO</t>
  </si>
  <si>
    <t>ISABELA</t>
  </si>
  <si>
    <t>JAYUYA, PR</t>
  </si>
  <si>
    <t>JAYUYA</t>
  </si>
  <si>
    <t>JUANA DIAZ</t>
  </si>
  <si>
    <t>JUNCOS</t>
  </si>
  <si>
    <t>LAJAS</t>
  </si>
  <si>
    <t>LARES</t>
  </si>
  <si>
    <t>LAS MARIAS</t>
  </si>
  <si>
    <t>LAS PIEDRAS</t>
  </si>
  <si>
    <t>LOIZA</t>
  </si>
  <si>
    <t>LUQUILLO</t>
  </si>
  <si>
    <t>MANATI</t>
  </si>
  <si>
    <t>MARICAO</t>
  </si>
  <si>
    <t>MAUNABO</t>
  </si>
  <si>
    <t>MAYAGUEZ</t>
  </si>
  <si>
    <t>GUADILLA-ISABELA, PR</t>
  </si>
  <si>
    <t>MOCA</t>
  </si>
  <si>
    <t>MOROVIS</t>
  </si>
  <si>
    <t>NAGUABO</t>
  </si>
  <si>
    <t>NARANJITO</t>
  </si>
  <si>
    <t>OROCOVIS</t>
  </si>
  <si>
    <t>PATILLAS</t>
  </si>
  <si>
    <t>PENUELAS</t>
  </si>
  <si>
    <t>PONCE</t>
  </si>
  <si>
    <t>QUEBRADILLAS</t>
  </si>
  <si>
    <t>RINCON</t>
  </si>
  <si>
    <t>RIO GRANDE</t>
  </si>
  <si>
    <t>SABANA GRANDE</t>
  </si>
  <si>
    <t>COCO, PR</t>
  </si>
  <si>
    <t>SALINAS</t>
  </si>
  <si>
    <t>SAN GERMAN</t>
  </si>
  <si>
    <t>SAN JUAN</t>
  </si>
  <si>
    <t>SAN LORENZO</t>
  </si>
  <si>
    <t>SAN SEBASTIAN</t>
  </si>
  <si>
    <t>SANTA ISABEL, PR</t>
  </si>
  <si>
    <t>SANTA ISABEL</t>
  </si>
  <si>
    <t>TOA ALTA</t>
  </si>
  <si>
    <t>TOA BAJA</t>
  </si>
  <si>
    <t>TRUJILLO ALTO</t>
  </si>
  <si>
    <t>UTUADO</t>
  </si>
  <si>
    <t>VEGA ALTA</t>
  </si>
  <si>
    <t>VEGA BAJA</t>
  </si>
  <si>
    <t>VIEQUES</t>
  </si>
  <si>
    <t>VILLALBA</t>
  </si>
  <si>
    <t>YABUCOA</t>
  </si>
  <si>
    <t>YAUCO</t>
  </si>
  <si>
    <t>Table 1. FHA/HUD Government loans</t>
  </si>
  <si>
    <r>
      <t xml:space="preserve">Reference: </t>
    </r>
    <r>
      <rPr>
        <b/>
        <sz val="11"/>
        <color theme="7" tint="-0.499984740745262"/>
        <rFont val="Aptos Narrow"/>
        <family val="2"/>
        <scheme val="minor"/>
      </rPr>
      <t>Tab_FHA/HUD Loan Limits Reference</t>
    </r>
  </si>
  <si>
    <t>IF [Product Loan to Value (%)] &gt; 0.0095</t>
  </si>
  <si>
    <t>THEN [Mortgage Insurance (MI) Percentage (%)] = 0.0055</t>
  </si>
  <si>
    <t>ELSE  [Mortgage Insurance (MI) Percentage (%)] = 0.0050</t>
  </si>
  <si>
    <t>Ver si se tiene que incluir 
en la carta</t>
  </si>
  <si>
    <t>Annual Mortgage Insurance (MI) Percentage (%):</t>
  </si>
  <si>
    <t>Month 1</t>
  </si>
  <si>
    <t>Month 2</t>
  </si>
  <si>
    <t>Month 3</t>
  </si>
  <si>
    <t>Month 4</t>
  </si>
  <si>
    <t>Month 5</t>
  </si>
  <si>
    <t>Month 6</t>
  </si>
  <si>
    <t>Month 7</t>
  </si>
  <si>
    <t>Month 8</t>
  </si>
  <si>
    <t>Month 9</t>
  </si>
  <si>
    <t>Month 10</t>
  </si>
  <si>
    <t>Month 11</t>
  </si>
  <si>
    <t>Month 12</t>
  </si>
  <si>
    <t>Annual Fee ($)</t>
  </si>
  <si>
    <t>Annual Average Oustanding Balance ($)</t>
  </si>
  <si>
    <t>Product Interest Rate (%):</t>
  </si>
  <si>
    <t>Original Loan Amount ($) = Total Loan Amount ($)</t>
  </si>
  <si>
    <t xml:space="preserve">Formulas / Calculations </t>
  </si>
  <si>
    <t>         II. Predetermined Data (PD) and Formulas for Monthly Mortgage Insurance</t>
  </si>
  <si>
    <t>Reference: Tab FHA Monthly MI</t>
  </si>
  <si>
    <t>Monthly Mortgage Insurante Amount ($):</t>
  </si>
  <si>
    <t>Down Payment Amount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</si>
</sst>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8" formatCode="&quot;$&quot;#,##0.00_);[Red]\(&quot;$&quot;#,##0.00\)"/>
    <numFmt numFmtId="44" formatCode="_(&quot;$&quot;* #,##0.00_);_(&quot;$&quot;* \(#,##0.00\);_(&quot;$&quot;* &quot;-&quot;??_);_(@_)"/>
  </numFmts>
  <fonts count="42" x14ac:knownFonts="1">
    <font>
      <sz val="11"/>
      <color theme="1"/>
      <name val="Aptos Narrow"/>
      <family val="2"/>
      <scheme val="minor"/>
    </font>
    <font>
      <b/>
      <sz val="11"/>
      <color theme="1"/>
      <name val="Aptos Narrow"/>
      <family val="2"/>
      <scheme val="minor"/>
    </font>
    <font>
      <b/>
      <i/>
      <sz val="11"/>
      <color theme="1"/>
      <name val="Aptos Narrow"/>
      <family val="2"/>
      <scheme val="minor"/>
    </font>
    <font>
      <sz val="11"/>
      <color theme="1"/>
      <name val="Aptos Narrow"/>
      <family val="2"/>
      <scheme val="minor"/>
    </font>
    <font>
      <b/>
      <sz val="12"/>
      <color theme="1"/>
      <name val="Aptos Narrow"/>
      <family val="2"/>
      <scheme val="minor"/>
    </font>
    <font>
      <sz val="12"/>
      <color theme="1"/>
      <name val="Aptos Narrow"/>
      <family val="2"/>
      <scheme val="minor"/>
    </font>
    <font>
      <sz val="20"/>
      <color theme="1"/>
      <name val="Aptos Narrow"/>
      <family val="2"/>
      <scheme val="minor"/>
    </font>
    <font>
      <sz val="12"/>
      <color rgb="FF00205C"/>
      <name val="Arial"/>
      <family val="2"/>
    </font>
    <font>
      <b/>
      <sz val="15"/>
      <color rgb="FF073579"/>
      <name val="Arial"/>
      <family val="2"/>
    </font>
    <font>
      <sz val="10"/>
      <color theme="1"/>
      <name val="Aptos"/>
      <family val="2"/>
    </font>
    <font>
      <sz val="10"/>
      <color rgb="FF000000"/>
      <name val="Aptos"/>
      <family val="2"/>
    </font>
    <font>
      <sz val="11"/>
      <color rgb="FF000000"/>
      <name val="Aptos Narrow"/>
      <family val="2"/>
    </font>
    <font>
      <b/>
      <sz val="14"/>
      <color theme="1"/>
      <name val="Aptos Narrow"/>
      <family val="2"/>
      <scheme val="minor"/>
    </font>
    <font>
      <b/>
      <sz val="16"/>
      <color theme="1"/>
      <name val="Aptos Narrow"/>
      <family val="2"/>
      <scheme val="minor"/>
    </font>
    <font>
      <b/>
      <sz val="15"/>
      <color theme="1"/>
      <name val="Aptos Narrow"/>
      <family val="2"/>
      <scheme val="minor"/>
    </font>
    <font>
      <sz val="14"/>
      <color theme="1"/>
      <name val="Aptos Narrow"/>
      <family val="2"/>
      <scheme val="minor"/>
    </font>
    <font>
      <b/>
      <vertAlign val="superscript"/>
      <sz val="14"/>
      <color theme="1"/>
      <name val="Aptos Narrow"/>
      <family val="2"/>
      <scheme val="minor"/>
    </font>
    <font>
      <vertAlign val="superscript"/>
      <sz val="14"/>
      <color theme="1"/>
      <name val="Aptos Narrow"/>
      <family val="2"/>
      <scheme val="minor"/>
    </font>
    <font>
      <b/>
      <sz val="24"/>
      <color theme="1"/>
      <name val="Aptos Narrow"/>
      <family val="2"/>
      <scheme val="minor"/>
    </font>
    <font>
      <sz val="16"/>
      <color theme="1"/>
      <name val="Aptos Narrow"/>
      <family val="2"/>
      <scheme val="minor"/>
    </font>
    <font>
      <b/>
      <sz val="11"/>
      <name val="Aptos Narrow"/>
      <family val="2"/>
      <scheme val="minor"/>
    </font>
    <font>
      <u/>
      <sz val="11"/>
      <color theme="10"/>
      <name val="Aptos Narrow"/>
      <family val="2"/>
      <scheme val="minor"/>
    </font>
    <font>
      <b/>
      <sz val="14"/>
      <color rgb="FF000000"/>
      <name val="Calibri"/>
      <family val="2"/>
    </font>
    <font>
      <b/>
      <sz val="11"/>
      <color theme="1"/>
      <name val="Aptos Display"/>
      <family val="2"/>
    </font>
    <font>
      <b/>
      <sz val="12"/>
      <color theme="1"/>
      <name val="Aptos Display"/>
      <family val="2"/>
    </font>
    <font>
      <b/>
      <sz val="14"/>
      <color theme="1"/>
      <name val="Times New Roman"/>
      <family val="1"/>
    </font>
    <font>
      <b/>
      <sz val="14"/>
      <color theme="1"/>
      <name val="Aptos Display"/>
      <family val="2"/>
    </font>
    <font>
      <b/>
      <sz val="30"/>
      <color theme="1"/>
      <name val="Aptos Narrow"/>
      <family val="2"/>
      <scheme val="minor"/>
    </font>
    <font>
      <sz val="10"/>
      <color theme="1"/>
      <name val="Aptos Narrow"/>
      <family val="2"/>
      <scheme val="minor"/>
    </font>
    <font>
      <b/>
      <sz val="18"/>
      <color theme="1"/>
      <name val="Aptos Narrow"/>
      <family val="2"/>
      <scheme val="minor"/>
    </font>
    <font>
      <b/>
      <i/>
      <sz val="11"/>
      <color theme="4" tint="-0.249977111117893"/>
      <name val="Aptos Narrow"/>
      <family val="2"/>
      <scheme val="minor"/>
    </font>
    <font>
      <sz val="11"/>
      <color theme="4" tint="-0.249977111117893"/>
      <name val="Aptos Narrow"/>
      <family val="2"/>
      <scheme val="minor"/>
    </font>
    <font>
      <sz val="11"/>
      <color theme="4" tint="-0.249977111117893"/>
      <name val="Aptos Display"/>
      <family val="2"/>
    </font>
    <font>
      <b/>
      <sz val="11"/>
      <color theme="4" tint="-0.249977111117893"/>
      <name val="Aptos Display"/>
      <family val="2"/>
    </font>
    <font>
      <sz val="8"/>
      <color theme="4" tint="-0.249977111117893"/>
      <name val="Aptos Narrow"/>
      <family val="2"/>
      <scheme val="minor"/>
    </font>
    <font>
      <b/>
      <i/>
      <sz val="12"/>
      <color theme="4" tint="-0.249977111117893"/>
      <name val="Aptos Narrow"/>
      <family val="2"/>
      <scheme val="minor"/>
    </font>
    <font>
      <sz val="11"/>
      <color theme="3" tint="9.9978637043366805E-2"/>
      <name val="Aptos Display"/>
      <family val="2"/>
    </font>
    <font>
      <b/>
      <sz val="10"/>
      <color theme="1"/>
      <name val="Aptos Narrow"/>
      <family val="2"/>
      <scheme val="minor"/>
    </font>
    <font>
      <sz val="11"/>
      <color rgb="FF333333"/>
      <name val="Arial"/>
      <family val="2"/>
    </font>
    <font>
      <b/>
      <sz val="11"/>
      <color rgb="FF333333"/>
      <name val="Arial"/>
      <family val="2"/>
    </font>
    <font>
      <b/>
      <sz val="11"/>
      <color theme="7" tint="-0.499984740745262"/>
      <name val="Aptos Narrow"/>
      <family val="2"/>
      <scheme val="minor"/>
    </font>
    <font>
      <sz val="11"/>
      <color theme="7" tint="-0.499984740745262"/>
      <name val="Aptos Narrow"/>
      <family val="2"/>
      <scheme val="minor"/>
    </font>
  </fonts>
  <fills count="8">
    <fill>
      <patternFill patternType="none"/>
    </fill>
    <fill>
      <patternFill patternType="gray125"/>
    </fill>
    <fill>
      <patternFill patternType="solid">
        <fgColor rgb="FFFFFF0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3" tint="0.749992370372631"/>
        <bgColor indexed="64"/>
      </patternFill>
    </fill>
    <fill>
      <patternFill patternType="solid">
        <fgColor theme="4" tint="0.59999389629810485"/>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thin">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medium">
        <color indexed="64"/>
      </top>
      <bottom/>
      <diagonal/>
    </border>
    <border>
      <left/>
      <right style="thin">
        <color indexed="64"/>
      </right>
      <top/>
      <bottom style="medium">
        <color indexed="64"/>
      </bottom>
      <diagonal/>
    </border>
    <border>
      <left/>
      <right style="thin">
        <color indexed="64"/>
      </right>
      <top style="medium">
        <color indexed="64"/>
      </top>
      <bottom style="double">
        <color indexed="64"/>
      </bottom>
      <diagonal/>
    </border>
    <border>
      <left/>
      <right style="thin">
        <color indexed="64"/>
      </right>
      <top style="thin">
        <color indexed="64"/>
      </top>
      <bottom/>
      <diagonal/>
    </border>
    <border>
      <left/>
      <right style="thin">
        <color indexed="64"/>
      </right>
      <top/>
      <bottom style="double">
        <color indexed="64"/>
      </bottom>
      <diagonal/>
    </border>
    <border>
      <left/>
      <right style="thin">
        <color indexed="64"/>
      </right>
      <top style="double">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44" fontId="3" fillId="0" borderId="0" applyFont="0" applyFill="0" applyBorder="0" applyAlignment="0" applyProtection="0"/>
    <xf numFmtId="9" fontId="3" fillId="0" borderId="0" applyFont="0" applyFill="0" applyBorder="0" applyAlignment="0" applyProtection="0"/>
    <xf numFmtId="0" fontId="21" fillId="0" borderId="0" applyNumberFormat="0" applyFill="0" applyBorder="0" applyAlignment="0" applyProtection="0"/>
  </cellStyleXfs>
  <cellXfs count="176">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center"/>
    </xf>
    <xf numFmtId="0" fontId="1" fillId="0" borderId="0" xfId="0" applyFont="1"/>
    <xf numFmtId="0" fontId="0" fillId="0" borderId="1" xfId="0" applyBorder="1" applyAlignment="1">
      <alignment horizontal="center"/>
    </xf>
    <xf numFmtId="9" fontId="0" fillId="0" borderId="1" xfId="2" applyFont="1" applyBorder="1" applyAlignment="1">
      <alignment horizontal="center"/>
    </xf>
    <xf numFmtId="10" fontId="0" fillId="0" borderId="1" xfId="2" applyNumberFormat="1" applyFont="1" applyBorder="1" applyAlignment="1">
      <alignment horizontal="center"/>
    </xf>
    <xf numFmtId="44" fontId="0" fillId="0" borderId="1" xfId="1" applyFont="1" applyBorder="1" applyAlignment="1">
      <alignment horizontal="center"/>
    </xf>
    <xf numFmtId="0" fontId="0" fillId="0" borderId="1" xfId="0" applyBorder="1"/>
    <xf numFmtId="0" fontId="4" fillId="0" borderId="0" xfId="0" applyFont="1"/>
    <xf numFmtId="0" fontId="1" fillId="0" borderId="2" xfId="0" applyFont="1"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6" fillId="0" borderId="0" xfId="0" applyFont="1"/>
    <xf numFmtId="0" fontId="7" fillId="0" borderId="0" xfId="0" applyFont="1"/>
    <xf numFmtId="0" fontId="6" fillId="0" borderId="0" xfId="0" applyFont="1" applyAlignment="1">
      <alignment horizontal="center" vertical="center"/>
    </xf>
    <xf numFmtId="0" fontId="10" fillId="0" borderId="0" xfId="0" applyFont="1"/>
    <xf numFmtId="0" fontId="5" fillId="3" borderId="0" xfId="0" applyFont="1" applyFill="1"/>
    <xf numFmtId="44" fontId="0" fillId="0" borderId="0" xfId="0" applyNumberFormat="1" applyAlignment="1">
      <alignment vertical="center"/>
    </xf>
    <xf numFmtId="0" fontId="0" fillId="0" borderId="2" xfId="0" applyBorder="1"/>
    <xf numFmtId="0" fontId="15" fillId="0" borderId="0" xfId="0" applyFont="1"/>
    <xf numFmtId="0" fontId="12" fillId="0" borderId="0" xfId="0" applyFont="1"/>
    <xf numFmtId="14" fontId="14" fillId="0" borderId="0" xfId="0" applyNumberFormat="1" applyFont="1" applyAlignment="1">
      <alignment horizontal="left"/>
    </xf>
    <xf numFmtId="0" fontId="12" fillId="0" borderId="0" xfId="0" applyFont="1" applyAlignment="1">
      <alignment horizontal="left"/>
    </xf>
    <xf numFmtId="8" fontId="12" fillId="0" borderId="0" xfId="0" applyNumberFormat="1" applyFont="1" applyAlignment="1">
      <alignment horizontal="left"/>
    </xf>
    <xf numFmtId="0" fontId="20" fillId="0" borderId="0" xfId="0" applyFont="1" applyAlignment="1">
      <alignment horizontal="right" vertical="center"/>
    </xf>
    <xf numFmtId="0" fontId="15" fillId="3" borderId="0" xfId="0" applyFont="1" applyFill="1"/>
    <xf numFmtId="0" fontId="5" fillId="0" borderId="0" xfId="0" applyFont="1"/>
    <xf numFmtId="0" fontId="12" fillId="0" borderId="0" xfId="0" applyFont="1" applyAlignment="1">
      <alignment horizontal="left" indent="9"/>
    </xf>
    <xf numFmtId="0" fontId="15" fillId="0" borderId="0" xfId="0" applyFont="1" applyAlignment="1">
      <alignment horizontal="left" indent="9"/>
    </xf>
    <xf numFmtId="0" fontId="12" fillId="0" borderId="0" xfId="0" applyFont="1" applyAlignment="1">
      <alignment horizontal="center"/>
    </xf>
    <xf numFmtId="14" fontId="14" fillId="4" borderId="0" xfId="0" applyNumberFormat="1" applyFont="1" applyFill="1" applyAlignment="1">
      <alignment horizontal="left"/>
    </xf>
    <xf numFmtId="0" fontId="12" fillId="4" borderId="0" xfId="0" applyFont="1" applyFill="1"/>
    <xf numFmtId="0" fontId="0" fillId="4" borderId="0" xfId="0" applyFill="1"/>
    <xf numFmtId="0" fontId="12" fillId="4" borderId="0" xfId="0" applyFont="1" applyFill="1" applyAlignment="1">
      <alignment horizontal="center"/>
    </xf>
    <xf numFmtId="10" fontId="12" fillId="4" borderId="0" xfId="0" applyNumberFormat="1" applyFont="1" applyFill="1" applyAlignment="1">
      <alignment horizontal="center"/>
    </xf>
    <xf numFmtId="0" fontId="4" fillId="4" borderId="0" xfId="0" applyFont="1" applyFill="1"/>
    <xf numFmtId="0" fontId="7" fillId="0" borderId="0" xfId="0" applyFont="1" applyAlignment="1">
      <alignment horizontal="left" wrapText="1"/>
    </xf>
    <xf numFmtId="0" fontId="22" fillId="0" borderId="0" xfId="0" applyFont="1" applyAlignment="1">
      <alignment horizontal="left" indent="9"/>
    </xf>
    <xf numFmtId="44" fontId="5" fillId="0" borderId="0" xfId="1" applyFont="1" applyFill="1" applyBorder="1" applyAlignment="1">
      <alignment horizontal="center" vertical="center"/>
    </xf>
    <xf numFmtId="0" fontId="0" fillId="0" borderId="0" xfId="0" applyAlignment="1">
      <alignment vertical="center"/>
    </xf>
    <xf numFmtId="0" fontId="1" fillId="0" borderId="10" xfId="0" applyFont="1" applyBorder="1" applyAlignment="1">
      <alignment horizontal="center" vertical="center"/>
    </xf>
    <xf numFmtId="44" fontId="0" fillId="0" borderId="1" xfId="0" applyNumberFormat="1" applyBorder="1" applyAlignment="1">
      <alignment horizontal="center"/>
    </xf>
    <xf numFmtId="44" fontId="0" fillId="0" borderId="1" xfId="0" applyNumberFormat="1" applyBorder="1"/>
    <xf numFmtId="0" fontId="27" fillId="0" borderId="12" xfId="0" applyFont="1" applyBorder="1" applyAlignment="1">
      <alignment horizontal="center" vertical="center"/>
    </xf>
    <xf numFmtId="0" fontId="27" fillId="0" borderId="0" xfId="0" applyFont="1" applyAlignment="1">
      <alignment horizontal="center" vertical="center"/>
    </xf>
    <xf numFmtId="0" fontId="0" fillId="0" borderId="13" xfId="0" applyBorder="1"/>
    <xf numFmtId="0" fontId="25" fillId="0" borderId="12" xfId="0" applyFont="1" applyBorder="1" applyAlignment="1">
      <alignment horizontal="left" vertical="center"/>
    </xf>
    <xf numFmtId="0" fontId="0" fillId="0" borderId="12" xfId="0" applyBorder="1"/>
    <xf numFmtId="0" fontId="1" fillId="0" borderId="12" xfId="0" applyFont="1" applyBorder="1"/>
    <xf numFmtId="0" fontId="12" fillId="0" borderId="0" xfId="0" applyFont="1" applyAlignment="1">
      <alignment horizontal="left" vertical="center"/>
    </xf>
    <xf numFmtId="9" fontId="0" fillId="0" borderId="1" xfId="0" applyNumberFormat="1" applyBorder="1" applyAlignment="1">
      <alignment horizontal="center"/>
    </xf>
    <xf numFmtId="10" fontId="0" fillId="0" borderId="1" xfId="0" applyNumberFormat="1" applyBorder="1" applyAlignment="1">
      <alignment horizontal="center"/>
    </xf>
    <xf numFmtId="10" fontId="1" fillId="0" borderId="1" xfId="0" applyNumberFormat="1" applyFont="1" applyBorder="1" applyAlignment="1">
      <alignment horizontal="center"/>
    </xf>
    <xf numFmtId="9" fontId="0" fillId="0" borderId="1" xfId="2" applyFont="1" applyFill="1" applyBorder="1" applyAlignment="1">
      <alignment horizontal="center"/>
    </xf>
    <xf numFmtId="0" fontId="28" fillId="0" borderId="0" xfId="0" applyFont="1" applyAlignment="1">
      <alignment vertical="center"/>
    </xf>
    <xf numFmtId="0" fontId="4" fillId="4" borderId="0" xfId="0" applyFont="1" applyFill="1" applyAlignment="1">
      <alignment horizontal="center"/>
    </xf>
    <xf numFmtId="0" fontId="4" fillId="0" borderId="0" xfId="0" applyFont="1" applyAlignment="1">
      <alignment horizontal="right"/>
    </xf>
    <xf numFmtId="0" fontId="30" fillId="0" borderId="0" xfId="0" applyFont="1"/>
    <xf numFmtId="0" fontId="1" fillId="4" borderId="0" xfId="0" applyFont="1" applyFill="1" applyAlignment="1">
      <alignment horizontal="center"/>
    </xf>
    <xf numFmtId="44" fontId="4" fillId="4" borderId="0" xfId="0" applyNumberFormat="1" applyFont="1" applyFill="1"/>
    <xf numFmtId="44" fontId="1" fillId="4" borderId="0" xfId="0" applyNumberFormat="1" applyFont="1" applyFill="1"/>
    <xf numFmtId="0" fontId="31" fillId="0" borderId="0" xfId="0" applyFont="1"/>
    <xf numFmtId="0" fontId="1" fillId="0" borderId="0" xfId="0" applyFont="1" applyAlignment="1">
      <alignment horizontal="left" indent="7"/>
    </xf>
    <xf numFmtId="44" fontId="1" fillId="4" borderId="0" xfId="0" applyNumberFormat="1" applyFont="1" applyFill="1" applyAlignment="1">
      <alignment horizontal="center"/>
    </xf>
    <xf numFmtId="44" fontId="1" fillId="4" borderId="0" xfId="1" applyFont="1" applyFill="1" applyBorder="1" applyAlignment="1">
      <alignment horizontal="center"/>
    </xf>
    <xf numFmtId="8" fontId="1" fillId="4" borderId="0" xfId="1" applyNumberFormat="1" applyFont="1" applyFill="1" applyBorder="1" applyAlignment="1">
      <alignment horizontal="center"/>
    </xf>
    <xf numFmtId="0" fontId="35" fillId="0" borderId="0" xfId="0" applyFont="1"/>
    <xf numFmtId="0" fontId="23" fillId="0" borderId="0" xfId="0" applyFont="1"/>
    <xf numFmtId="0" fontId="32" fillId="0" borderId="0" xfId="0" applyFont="1"/>
    <xf numFmtId="0" fontId="34" fillId="0" borderId="0" xfId="0" applyFont="1" applyAlignment="1">
      <alignment horizontal="left" indent="2"/>
    </xf>
    <xf numFmtId="44" fontId="0" fillId="0" borderId="0" xfId="0" applyNumberFormat="1"/>
    <xf numFmtId="0" fontId="32" fillId="0" borderId="0" xfId="0" applyFont="1" applyAlignment="1">
      <alignment horizontal="left" vertical="center" indent="2"/>
    </xf>
    <xf numFmtId="0" fontId="0" fillId="0" borderId="0" xfId="0" applyAlignment="1">
      <alignment horizontal="left" indent="2"/>
    </xf>
    <xf numFmtId="0" fontId="32" fillId="0" borderId="0" xfId="0" applyFont="1" applyAlignment="1">
      <alignment vertical="center"/>
    </xf>
    <xf numFmtId="0" fontId="32" fillId="0" borderId="0" xfId="0" applyFont="1" applyAlignment="1">
      <alignment horizontal="left" vertical="center"/>
    </xf>
    <xf numFmtId="0" fontId="32" fillId="0" borderId="0" xfId="0" applyFont="1" applyAlignment="1">
      <alignment horizontal="left" vertical="center" indent="1"/>
    </xf>
    <xf numFmtId="0" fontId="31" fillId="0" borderId="0" xfId="0" applyFont="1" applyAlignment="1">
      <alignment horizontal="left" indent="2"/>
    </xf>
    <xf numFmtId="0" fontId="0" fillId="0" borderId="11" xfId="0" applyBorder="1"/>
    <xf numFmtId="0" fontId="0" fillId="5" borderId="0" xfId="0" applyFill="1"/>
    <xf numFmtId="0" fontId="4" fillId="5" borderId="0" xfId="0" applyFont="1" applyFill="1"/>
    <xf numFmtId="0" fontId="12" fillId="0" borderId="0" xfId="0" applyFont="1" applyAlignment="1">
      <alignment vertical="center"/>
    </xf>
    <xf numFmtId="0" fontId="24" fillId="0" borderId="0" xfId="0" applyFont="1" applyAlignment="1">
      <alignment vertical="center"/>
    </xf>
    <xf numFmtId="0" fontId="32" fillId="0" borderId="0" xfId="0" applyFont="1" applyAlignment="1">
      <alignment horizontal="left" vertical="center" indent="6"/>
    </xf>
    <xf numFmtId="0" fontId="31" fillId="0" borderId="0" xfId="0" applyFont="1" applyAlignment="1">
      <alignment horizontal="left" indent="10"/>
    </xf>
    <xf numFmtId="10" fontId="1" fillId="0" borderId="1" xfId="0" applyNumberFormat="1" applyFont="1" applyBorder="1" applyAlignment="1">
      <alignment horizontal="center" vertical="center"/>
    </xf>
    <xf numFmtId="0" fontId="36" fillId="0" borderId="0" xfId="0" applyFont="1"/>
    <xf numFmtId="44" fontId="1" fillId="4" borderId="0" xfId="1" applyFont="1" applyFill="1" applyBorder="1" applyAlignment="1">
      <alignment horizontal="center" vertical="center"/>
    </xf>
    <xf numFmtId="44" fontId="1" fillId="4" borderId="0" xfId="1" applyFont="1" applyFill="1" applyAlignment="1">
      <alignment horizontal="center"/>
    </xf>
    <xf numFmtId="10" fontId="1" fillId="4" borderId="0" xfId="2" applyNumberFormat="1" applyFont="1" applyFill="1" applyAlignment="1">
      <alignment horizontal="center"/>
    </xf>
    <xf numFmtId="0" fontId="0" fillId="0" borderId="18" xfId="0" applyBorder="1"/>
    <xf numFmtId="0" fontId="32" fillId="0" borderId="18" xfId="0" applyFont="1" applyBorder="1" applyAlignment="1">
      <alignment horizontal="left" vertical="center" indent="1"/>
    </xf>
    <xf numFmtId="0" fontId="0" fillId="6" borderId="15" xfId="0" applyFill="1" applyBorder="1"/>
    <xf numFmtId="0" fontId="12" fillId="6" borderId="16" xfId="0" applyFont="1" applyFill="1" applyBorder="1"/>
    <xf numFmtId="0" fontId="0" fillId="6" borderId="16" xfId="0" applyFill="1" applyBorder="1"/>
    <xf numFmtId="0" fontId="0" fillId="6" borderId="17" xfId="0" applyFill="1"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37" fillId="0" borderId="1" xfId="0" applyFont="1" applyBorder="1" applyAlignment="1">
      <alignment horizontal="center" vertical="center" wrapText="1"/>
    </xf>
    <xf numFmtId="44" fontId="0" fillId="0" borderId="1" xfId="1" applyFont="1" applyFill="1" applyBorder="1" applyAlignment="1">
      <alignment horizontal="center"/>
    </xf>
    <xf numFmtId="0" fontId="0" fillId="0" borderId="24" xfId="0" applyBorder="1"/>
    <xf numFmtId="10" fontId="1" fillId="4" borderId="0" xfId="2" applyNumberFormat="1" applyFont="1" applyFill="1" applyBorder="1" applyAlignment="1">
      <alignment horizontal="center"/>
    </xf>
    <xf numFmtId="10" fontId="1" fillId="4" borderId="0" xfId="0" applyNumberFormat="1" applyFont="1" applyFill="1" applyAlignment="1">
      <alignment horizontal="center"/>
    </xf>
    <xf numFmtId="0" fontId="1" fillId="2" borderId="1" xfId="0" applyFont="1" applyFill="1" applyBorder="1" applyAlignment="1">
      <alignment horizontal="center" vertical="center"/>
    </xf>
    <xf numFmtId="10" fontId="0" fillId="2" borderId="1" xfId="2" applyNumberFormat="1" applyFont="1" applyFill="1" applyBorder="1" applyAlignment="1">
      <alignment horizontal="center"/>
    </xf>
    <xf numFmtId="0" fontId="0" fillId="0" borderId="1" xfId="0" applyBorder="1" applyAlignment="1">
      <alignment horizontal="center" vertical="center"/>
    </xf>
    <xf numFmtId="0" fontId="38" fillId="0" borderId="27" xfId="0" applyFont="1" applyBorder="1" applyAlignment="1">
      <alignment horizontal="left" vertical="center" wrapText="1"/>
    </xf>
    <xf numFmtId="6" fontId="38" fillId="0" borderId="27" xfId="0" applyNumberFormat="1" applyFont="1" applyBorder="1" applyAlignment="1">
      <alignment horizontal="center" vertical="center" wrapText="1"/>
    </xf>
    <xf numFmtId="6" fontId="38" fillId="0" borderId="27" xfId="0" applyNumberFormat="1" applyFont="1" applyBorder="1" applyAlignment="1">
      <alignment horizontal="center" vertical="center"/>
    </xf>
    <xf numFmtId="0" fontId="38" fillId="0" borderId="27" xfId="0" applyFont="1" applyBorder="1" applyAlignment="1">
      <alignment horizontal="center" vertical="center"/>
    </xf>
    <xf numFmtId="14" fontId="38" fillId="0" borderId="27" xfId="0" applyNumberFormat="1" applyFont="1" applyBorder="1" applyAlignment="1">
      <alignment horizontal="center" vertical="center" wrapText="1"/>
    </xf>
    <xf numFmtId="0" fontId="38" fillId="0" borderId="27" xfId="0" applyFont="1" applyBorder="1" applyAlignment="1">
      <alignment horizontal="center" vertical="center" wrapText="1"/>
    </xf>
    <xf numFmtId="0" fontId="41" fillId="0" borderId="0" xfId="0" applyFont="1"/>
    <xf numFmtId="0" fontId="4" fillId="0" borderId="0" xfId="0" applyFont="1" applyAlignment="1">
      <alignment vertical="center"/>
    </xf>
    <xf numFmtId="10" fontId="0" fillId="0" borderId="1" xfId="0" applyNumberFormat="1" applyBorder="1"/>
    <xf numFmtId="0" fontId="0" fillId="0" borderId="0" xfId="0" applyAlignment="1">
      <alignment horizontal="left"/>
    </xf>
    <xf numFmtId="44" fontId="0" fillId="0" borderId="0" xfId="1" applyFont="1"/>
    <xf numFmtId="0" fontId="0" fillId="7" borderId="0" xfId="0" applyFill="1" applyAlignment="1">
      <alignment horizontal="left"/>
    </xf>
    <xf numFmtId="0" fontId="0" fillId="7" borderId="0" xfId="0" applyFill="1"/>
    <xf numFmtId="44" fontId="1" fillId="7" borderId="0" xfId="1" applyFont="1" applyFill="1"/>
    <xf numFmtId="0" fontId="2" fillId="0" borderId="0" xfId="0" applyFont="1"/>
    <xf numFmtId="44" fontId="12" fillId="4" borderId="0" xfId="0" applyNumberFormat="1" applyFont="1" applyFill="1" applyAlignment="1">
      <alignment horizontal="center"/>
    </xf>
    <xf numFmtId="44" fontId="12" fillId="4" borderId="0" xfId="0" applyNumberFormat="1" applyFont="1" applyFill="1" applyAlignment="1">
      <alignment horizontal="center" vertical="center"/>
    </xf>
    <xf numFmtId="44" fontId="12" fillId="4" borderId="0" xfId="1" applyFont="1" applyFill="1" applyAlignment="1">
      <alignment horizontal="center"/>
    </xf>
    <xf numFmtId="0" fontId="39" fillId="2" borderId="25" xfId="0" applyFont="1" applyFill="1" applyBorder="1" applyAlignment="1">
      <alignment horizontal="center" vertical="center"/>
    </xf>
    <xf numFmtId="0" fontId="39" fillId="2" borderId="26" xfId="0" applyFont="1" applyFill="1" applyBorder="1" applyAlignment="1">
      <alignment horizontal="center" vertical="center"/>
    </xf>
    <xf numFmtId="0" fontId="29" fillId="0" borderId="2" xfId="0" applyFont="1" applyBorder="1" applyAlignment="1">
      <alignment horizontal="center" vertical="center"/>
    </xf>
    <xf numFmtId="0" fontId="29" fillId="0" borderId="4" xfId="0" applyFont="1" applyBorder="1" applyAlignment="1">
      <alignment horizontal="center" vertical="center"/>
    </xf>
    <xf numFmtId="0" fontId="29" fillId="0" borderId="5" xfId="0" applyFont="1" applyBorder="1" applyAlignment="1">
      <alignment horizontal="center" vertical="center"/>
    </xf>
    <xf numFmtId="0" fontId="29" fillId="0" borderId="6" xfId="0" applyFont="1" applyBorder="1" applyAlignment="1">
      <alignment horizontal="center" vertical="center"/>
    </xf>
    <xf numFmtId="0" fontId="29" fillId="0" borderId="7" xfId="0" applyFont="1" applyBorder="1" applyAlignment="1">
      <alignment horizontal="center" vertical="center"/>
    </xf>
    <xf numFmtId="0" fontId="29" fillId="0" borderId="9" xfId="0" applyFont="1" applyBorder="1" applyAlignment="1">
      <alignment horizontal="center" vertical="center"/>
    </xf>
    <xf numFmtId="0" fontId="5" fillId="0" borderId="0" xfId="0" applyFont="1" applyAlignment="1">
      <alignment horizontal="left" vertical="center" wrapText="1"/>
    </xf>
    <xf numFmtId="0" fontId="13" fillId="0" borderId="1" xfId="0" applyFont="1" applyBorder="1" applyAlignment="1">
      <alignment horizontal="center" vertical="center"/>
    </xf>
    <xf numFmtId="44" fontId="0" fillId="3" borderId="0" xfId="1" applyFont="1" applyFill="1" applyBorder="1" applyAlignment="1">
      <alignment horizontal="center"/>
    </xf>
    <xf numFmtId="0" fontId="27" fillId="0" borderId="5" xfId="0" applyFont="1" applyBorder="1" applyAlignment="1">
      <alignment horizontal="center" vertical="center"/>
    </xf>
    <xf numFmtId="0" fontId="27" fillId="0" borderId="6" xfId="0" applyFont="1" applyBorder="1" applyAlignment="1">
      <alignment horizontal="center" vertical="center"/>
    </xf>
    <xf numFmtId="0" fontId="27" fillId="0" borderId="7" xfId="0" applyFont="1" applyBorder="1" applyAlignment="1">
      <alignment horizontal="center" vertical="center"/>
    </xf>
    <xf numFmtId="0" fontId="27" fillId="0" borderId="9" xfId="0" applyFont="1" applyBorder="1" applyAlignment="1">
      <alignment horizontal="center" vertical="center"/>
    </xf>
    <xf numFmtId="0" fontId="27" fillId="0" borderId="12" xfId="0" applyFont="1" applyBorder="1" applyAlignment="1">
      <alignment horizontal="center" vertical="center"/>
    </xf>
    <xf numFmtId="0" fontId="27" fillId="0" borderId="14" xfId="0" applyFont="1" applyBorder="1" applyAlignment="1">
      <alignment horizontal="center" vertical="center"/>
    </xf>
    <xf numFmtId="0" fontId="7" fillId="0" borderId="0" xfId="0" applyFont="1" applyAlignment="1">
      <alignment horizontal="left" vertical="center" wrapText="1"/>
    </xf>
    <xf numFmtId="0" fontId="5" fillId="3" borderId="0" xfId="0" applyFont="1" applyFill="1" applyAlignment="1">
      <alignment horizontal="left"/>
    </xf>
    <xf numFmtId="0" fontId="8" fillId="0" borderId="0" xfId="0" applyFont="1" applyAlignment="1">
      <alignment horizontal="left" vertical="top" wrapText="1"/>
    </xf>
    <xf numFmtId="0" fontId="0" fillId="3" borderId="0" xfId="0" applyFill="1" applyAlignment="1">
      <alignment horizontal="center"/>
    </xf>
    <xf numFmtId="0" fontId="0" fillId="3" borderId="0" xfId="0" applyFill="1" applyAlignment="1">
      <alignment horizontal="left"/>
    </xf>
    <xf numFmtId="0" fontId="21" fillId="3" borderId="0" xfId="3" applyFill="1" applyAlignment="1">
      <alignment horizontal="left"/>
    </xf>
    <xf numFmtId="0" fontId="0" fillId="6" borderId="15" xfId="0" applyFill="1" applyBorder="1" applyAlignment="1">
      <alignment horizontal="center"/>
    </xf>
    <xf numFmtId="0" fontId="0" fillId="6" borderId="16" xfId="0" applyFill="1" applyBorder="1" applyAlignment="1">
      <alignment horizontal="center"/>
    </xf>
    <xf numFmtId="0" fontId="0" fillId="6" borderId="17" xfId="0" applyFill="1" applyBorder="1" applyAlignment="1">
      <alignment horizontal="center"/>
    </xf>
    <xf numFmtId="0" fontId="0" fillId="0" borderId="0" xfId="0" applyAlignment="1">
      <alignment horizontal="left" vertical="center" wrapText="1"/>
    </xf>
    <xf numFmtId="44" fontId="5" fillId="3" borderId="0" xfId="1" applyFont="1" applyFill="1" applyBorder="1" applyAlignment="1">
      <alignment horizontal="center"/>
    </xf>
    <xf numFmtId="0" fontId="7" fillId="0" borderId="0" xfId="0" applyFont="1" applyAlignment="1">
      <alignment horizontal="left" wrapText="1"/>
    </xf>
    <xf numFmtId="44" fontId="5" fillId="3" borderId="0" xfId="1" applyFont="1" applyFill="1" applyBorder="1" applyAlignment="1">
      <alignment horizontal="center" vertical="center"/>
    </xf>
    <xf numFmtId="44" fontId="5" fillId="3" borderId="6" xfId="1" applyFont="1" applyFill="1" applyBorder="1" applyAlignment="1">
      <alignment horizontal="center" vertical="center"/>
    </xf>
    <xf numFmtId="0" fontId="15" fillId="0" borderId="0" xfId="0" applyFont="1" applyAlignment="1">
      <alignment horizontal="left" wrapText="1"/>
    </xf>
    <xf numFmtId="0" fontId="15" fillId="0" borderId="0" xfId="0" applyFont="1" applyAlignment="1">
      <alignment horizontal="left" vertical="center" wrapText="1"/>
    </xf>
    <xf numFmtId="0" fontId="15" fillId="0" borderId="0" xfId="0" applyFont="1" applyAlignment="1">
      <alignment horizontal="left" vertical="center"/>
    </xf>
    <xf numFmtId="0" fontId="0" fillId="0" borderId="0" xfId="0" applyAlignment="1">
      <alignment horizontal="left" vertical="center"/>
    </xf>
    <xf numFmtId="0" fontId="39" fillId="0" borderId="25" xfId="0" applyFont="1" applyBorder="1" applyAlignment="1">
      <alignment horizontal="center" vertical="center"/>
    </xf>
    <xf numFmtId="0" fontId="39" fillId="0" borderId="26" xfId="0" applyFont="1" applyBorder="1" applyAlignment="1">
      <alignment horizontal="center" vertical="center"/>
    </xf>
    <xf numFmtId="0" fontId="39" fillId="2" borderId="25" xfId="0" applyFont="1" applyFill="1" applyBorder="1" applyAlignment="1">
      <alignment horizontal="center" vertical="center"/>
    </xf>
    <xf numFmtId="0" fontId="39" fillId="2" borderId="26" xfId="0" applyFont="1" applyFill="1" applyBorder="1" applyAlignment="1">
      <alignment horizontal="center" vertical="center"/>
    </xf>
    <xf numFmtId="0" fontId="15" fillId="3" borderId="0" xfId="0" applyFont="1" applyFill="1" applyAlignment="1">
      <alignment horizontal="left"/>
    </xf>
    <xf numFmtId="0" fontId="15" fillId="3" borderId="0" xfId="0" applyFont="1" applyFill="1" applyAlignment="1">
      <alignment horizontal="center"/>
    </xf>
    <xf numFmtId="0" fontId="18" fillId="0" borderId="0" xfId="0" applyFont="1" applyAlignment="1">
      <alignment horizontal="center" vertical="top" wrapText="1"/>
    </xf>
    <xf numFmtId="0" fontId="18" fillId="0" borderId="0" xfId="0" applyFont="1" applyAlignment="1">
      <alignment horizontal="center" vertical="top"/>
    </xf>
    <xf numFmtId="0" fontId="19" fillId="0" borderId="0" xfId="0" applyFont="1" applyAlignment="1">
      <alignment horizontal="center" vertical="center" wrapText="1"/>
    </xf>
  </cellXfs>
  <cellStyles count="4">
    <cellStyle name="Currency" xfId="1" builtinId="4"/>
    <cellStyle name="Hyperlink" xfId="3" builtinId="8"/>
    <cellStyle name="Normal" xfId="0" builtinId="0"/>
    <cellStyle name="Percent" xfId="2" builtinId="5"/>
  </cellStyles>
  <dxfs count="14">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bgColor theme="0"/>
        </patternFill>
      </fill>
    </dxf>
    <dxf>
      <border>
        <left/>
        <right/>
        <top/>
        <bottom/>
        <vertical/>
        <horizontal/>
      </border>
    </dxf>
    <dxf>
      <border>
        <left style="thin">
          <color auto="1"/>
        </left>
        <right style="thin">
          <color auto="1"/>
        </right>
        <top style="thin">
          <color auto="1"/>
        </top>
        <bottom style="thin">
          <color auto="1"/>
        </bottom>
        <vertical/>
        <horizontal/>
      </border>
    </dxf>
    <dxf>
      <font>
        <color rgb="FFFF0000"/>
      </font>
    </dxf>
    <dxf>
      <font>
        <b/>
        <i val="0"/>
        <color theme="9" tint="-0.24994659260841701"/>
      </font>
    </dxf>
    <dxf>
      <font>
        <b/>
        <i val="0"/>
        <color rgb="FFFF0000"/>
      </font>
    </dxf>
    <dxf>
      <font>
        <color rgb="FFFF0000"/>
      </font>
    </dxf>
    <dxf>
      <font>
        <b/>
        <i val="0"/>
        <color theme="9" tint="-0.24994659260841701"/>
      </font>
    </dxf>
    <dxf>
      <font>
        <b/>
        <i val="0"/>
        <color rgb="FFFF0000"/>
      </font>
    </dxf>
    <dxf>
      <font>
        <color rgb="FFFF0000"/>
      </font>
    </dxf>
    <dxf>
      <font>
        <b/>
        <i val="0"/>
        <color theme="9" tint="-0.24994659260841701"/>
      </font>
    </dxf>
    <dxf>
      <font>
        <b/>
        <i val="0"/>
        <color rgb="FFFF0000"/>
      </font>
    </dxf>
  </dxfs>
  <tableStyles count="0" defaultTableStyle="TableStyleMedium2" defaultPivotStyle="PivotStyleLight16"/>
  <colors>
    <mruColors>
      <color rgb="FFE094BA"/>
      <color rgb="FFE98BB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cid:image001.png@01DA8C2E.F094AA70"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cid:image001.png@01DA8C2E.F094AA70" TargetMode="Externa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5</xdr:col>
      <xdr:colOff>1647827</xdr:colOff>
      <xdr:row>8</xdr:row>
      <xdr:rowOff>104777</xdr:rowOff>
    </xdr:from>
    <xdr:to>
      <xdr:col>6</xdr:col>
      <xdr:colOff>76201</xdr:colOff>
      <xdr:row>13</xdr:row>
      <xdr:rowOff>76200</xdr:rowOff>
    </xdr:to>
    <xdr:pic>
      <xdr:nvPicPr>
        <xdr:cNvPr id="2" name="Picture 2">
          <a:extLst>
            <a:ext uri="{FF2B5EF4-FFF2-40B4-BE49-F238E27FC236}">
              <a16:creationId xmlns:a16="http://schemas.microsoft.com/office/drawing/2014/main" id="{3EF31BD0-24ED-4ABA-93E7-99A41C7CD814}"/>
            </a:ext>
          </a:extLst>
        </xdr:cNvPr>
        <xdr:cNvPicPr>
          <a:picLocks noChangeAspect="1" noChangeArrowheads="1"/>
        </xdr:cNvPicPr>
      </xdr:nvPicPr>
      <xdr:blipFill rotWithShape="1">
        <a:blip xmlns:r="http://schemas.openxmlformats.org/officeDocument/2006/relationships" r:embed="rId1" r:link="rId2">
          <a:extLst>
            <a:ext uri="{28A0092B-C50C-407E-A947-70E740481C1C}">
              <a14:useLocalDpi xmlns:a14="http://schemas.microsoft.com/office/drawing/2010/main" val="0"/>
            </a:ext>
          </a:extLst>
        </a:blip>
        <a:srcRect t="18300" r="83803" b="23530"/>
        <a:stretch>
          <a:fillRect/>
        </a:stretch>
      </xdr:blipFill>
      <xdr:spPr bwMode="auto">
        <a:xfrm>
          <a:off x="4533902" y="1943102"/>
          <a:ext cx="1038224" cy="13906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883920</xdr:colOff>
          <xdr:row>90</xdr:row>
          <xdr:rowOff>175260</xdr:rowOff>
        </xdr:from>
        <xdr:to>
          <xdr:col>8</xdr:col>
          <xdr:colOff>670560</xdr:colOff>
          <xdr:row>93</xdr:row>
          <xdr:rowOff>121920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Enviar</a:t>
              </a:r>
            </a:p>
          </xdr:txBody>
        </xdr:sp>
        <xdr:clientData fPrintsWithSheet="0"/>
      </xdr:twoCellAnchor>
    </mc:Choice>
    <mc:Fallback/>
  </mc:AlternateContent>
  <xdr:twoCellAnchor editAs="oneCell">
    <xdr:from>
      <xdr:col>3</xdr:col>
      <xdr:colOff>85970</xdr:colOff>
      <xdr:row>79</xdr:row>
      <xdr:rowOff>165344</xdr:rowOff>
    </xdr:from>
    <xdr:to>
      <xdr:col>5</xdr:col>
      <xdr:colOff>1893437</xdr:colOff>
      <xdr:row>84</xdr:row>
      <xdr:rowOff>112967</xdr:rowOff>
    </xdr:to>
    <xdr:pic>
      <xdr:nvPicPr>
        <xdr:cNvPr id="3" name="Picture 2">
          <a:extLst>
            <a:ext uri="{FF2B5EF4-FFF2-40B4-BE49-F238E27FC236}">
              <a16:creationId xmlns:a16="http://schemas.microsoft.com/office/drawing/2014/main" id="{76A140B6-06EC-4F19-B501-A38403AA91E2}"/>
            </a:ext>
          </a:extLst>
        </xdr:cNvPr>
        <xdr:cNvPicPr>
          <a:picLocks noChangeAspect="1"/>
        </xdr:cNvPicPr>
      </xdr:nvPicPr>
      <xdr:blipFill>
        <a:blip xmlns:r="http://schemas.openxmlformats.org/officeDocument/2006/relationships" r:embed="rId3"/>
        <a:stretch>
          <a:fillRect/>
        </a:stretch>
      </xdr:blipFill>
      <xdr:spPr>
        <a:xfrm>
          <a:off x="1752845" y="17176994"/>
          <a:ext cx="3019048" cy="900123"/>
        </a:xfrm>
        <a:prstGeom prst="rect">
          <a:avLst/>
        </a:prstGeom>
      </xdr:spPr>
    </xdr:pic>
    <xdr:clientData/>
  </xdr:twoCellAnchor>
  <xdr:twoCellAnchor>
    <xdr:from>
      <xdr:col>2</xdr:col>
      <xdr:colOff>428625</xdr:colOff>
      <xdr:row>78</xdr:row>
      <xdr:rowOff>38100</xdr:rowOff>
    </xdr:from>
    <xdr:to>
      <xdr:col>2</xdr:col>
      <xdr:colOff>542925</xdr:colOff>
      <xdr:row>78</xdr:row>
      <xdr:rowOff>171450</xdr:rowOff>
    </xdr:to>
    <xdr:sp macro="" textlink="">
      <xdr:nvSpPr>
        <xdr:cNvPr id="4" name="Flowchart: Process 3">
          <a:extLst>
            <a:ext uri="{FF2B5EF4-FFF2-40B4-BE49-F238E27FC236}">
              <a16:creationId xmlns:a16="http://schemas.microsoft.com/office/drawing/2014/main" id="{2FCAA63C-2DBF-42DA-B2A1-EA449FCCC2E1}"/>
            </a:ext>
          </a:extLst>
        </xdr:cNvPr>
        <xdr:cNvSpPr/>
      </xdr:nvSpPr>
      <xdr:spPr>
        <a:xfrm>
          <a:off x="1485900" y="16849725"/>
          <a:ext cx="114300" cy="133350"/>
        </a:xfrm>
        <a:prstGeom prst="flowChartProcess">
          <a:avLst/>
        </a:prstGeom>
        <a:noFill/>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231099</xdr:colOff>
      <xdr:row>5</xdr:row>
      <xdr:rowOff>166687</xdr:rowOff>
    </xdr:from>
    <xdr:to>
      <xdr:col>5</xdr:col>
      <xdr:colOff>818969</xdr:colOff>
      <xdr:row>9</xdr:row>
      <xdr:rowOff>170820</xdr:rowOff>
    </xdr:to>
    <xdr:pic>
      <xdr:nvPicPr>
        <xdr:cNvPr id="2" name="Picture 1">
          <a:extLst>
            <a:ext uri="{FF2B5EF4-FFF2-40B4-BE49-F238E27FC236}">
              <a16:creationId xmlns:a16="http://schemas.microsoft.com/office/drawing/2014/main" id="{6613B1FA-A050-4927-A029-B1483CF11AF9}"/>
            </a:ext>
          </a:extLst>
        </xdr:cNvPr>
        <xdr:cNvPicPr>
          <a:picLocks noChangeAspect="1"/>
        </xdr:cNvPicPr>
      </xdr:nvPicPr>
      <xdr:blipFill rotWithShape="1">
        <a:blip xmlns:r="http://schemas.openxmlformats.org/officeDocument/2006/relationships" r:embed="rId1"/>
        <a:srcRect t="47832" r="72452"/>
        <a:stretch/>
      </xdr:blipFill>
      <xdr:spPr>
        <a:xfrm>
          <a:off x="840699" y="1094422"/>
          <a:ext cx="3797795" cy="742638"/>
        </a:xfrm>
        <a:prstGeom prst="rect">
          <a:avLst/>
        </a:prstGeom>
      </xdr:spPr>
    </xdr:pic>
    <xdr:clientData/>
  </xdr:twoCellAnchor>
  <xdr:twoCellAnchor editAs="oneCell">
    <xdr:from>
      <xdr:col>12</xdr:col>
      <xdr:colOff>326571</xdr:colOff>
      <xdr:row>4</xdr:row>
      <xdr:rowOff>80623</xdr:rowOff>
    </xdr:from>
    <xdr:to>
      <xdr:col>17</xdr:col>
      <xdr:colOff>361429</xdr:colOff>
      <xdr:row>9</xdr:row>
      <xdr:rowOff>94872</xdr:rowOff>
    </xdr:to>
    <xdr:pic>
      <xdr:nvPicPr>
        <xdr:cNvPr id="3" name="Picture 2">
          <a:extLst>
            <a:ext uri="{FF2B5EF4-FFF2-40B4-BE49-F238E27FC236}">
              <a16:creationId xmlns:a16="http://schemas.microsoft.com/office/drawing/2014/main" id="{3A01FB6B-65C0-4DC5-98F6-2B53E63B7946}"/>
            </a:ext>
          </a:extLst>
        </xdr:cNvPr>
        <xdr:cNvPicPr>
          <a:picLocks noChangeAspect="1"/>
        </xdr:cNvPicPr>
      </xdr:nvPicPr>
      <xdr:blipFill rotWithShape="1">
        <a:blip xmlns:r="http://schemas.openxmlformats.org/officeDocument/2006/relationships" r:embed="rId1"/>
        <a:srcRect l="72054" t="33239" r="5224"/>
        <a:stretch/>
      </xdr:blipFill>
      <xdr:spPr>
        <a:xfrm>
          <a:off x="14057811" y="822303"/>
          <a:ext cx="3093019" cy="936269"/>
        </a:xfrm>
        <a:prstGeom prst="rect">
          <a:avLst/>
        </a:prstGeom>
      </xdr:spPr>
    </xdr:pic>
    <xdr:clientData/>
  </xdr:twoCellAnchor>
  <xdr:twoCellAnchor editAs="oneCell">
    <xdr:from>
      <xdr:col>13</xdr:col>
      <xdr:colOff>693965</xdr:colOff>
      <xdr:row>43</xdr:row>
      <xdr:rowOff>65928</xdr:rowOff>
    </xdr:from>
    <xdr:to>
      <xdr:col>17</xdr:col>
      <xdr:colOff>190091</xdr:colOff>
      <xdr:row>54</xdr:row>
      <xdr:rowOff>19574</xdr:rowOff>
    </xdr:to>
    <xdr:pic>
      <xdr:nvPicPr>
        <xdr:cNvPr id="4" name="Picture 3">
          <a:extLst>
            <a:ext uri="{FF2B5EF4-FFF2-40B4-BE49-F238E27FC236}">
              <a16:creationId xmlns:a16="http://schemas.microsoft.com/office/drawing/2014/main" id="{5C003C90-110F-4E2B-84A6-9435021315D2}"/>
            </a:ext>
          </a:extLst>
        </xdr:cNvPr>
        <xdr:cNvPicPr>
          <a:picLocks noChangeAspect="1"/>
        </xdr:cNvPicPr>
      </xdr:nvPicPr>
      <xdr:blipFill>
        <a:blip xmlns:r="http://schemas.openxmlformats.org/officeDocument/2006/relationships" r:embed="rId2"/>
        <a:stretch>
          <a:fillRect/>
        </a:stretch>
      </xdr:blipFill>
      <xdr:spPr>
        <a:xfrm>
          <a:off x="15224670" y="8934973"/>
          <a:ext cx="1754821" cy="2064386"/>
        </a:xfrm>
        <a:prstGeom prst="rect">
          <a:avLst/>
        </a:prstGeom>
      </xdr:spPr>
    </xdr:pic>
    <xdr:clientData/>
  </xdr:twoCellAnchor>
  <xdr:twoCellAnchor editAs="oneCell">
    <xdr:from>
      <xdr:col>9</xdr:col>
      <xdr:colOff>1479368</xdr:colOff>
      <xdr:row>9</xdr:row>
      <xdr:rowOff>114844</xdr:rowOff>
    </xdr:from>
    <xdr:to>
      <xdr:col>15</xdr:col>
      <xdr:colOff>241228</xdr:colOff>
      <xdr:row>14</xdr:row>
      <xdr:rowOff>114572</xdr:rowOff>
    </xdr:to>
    <xdr:pic>
      <xdr:nvPicPr>
        <xdr:cNvPr id="5" name="Picture 4">
          <a:extLst>
            <a:ext uri="{FF2B5EF4-FFF2-40B4-BE49-F238E27FC236}">
              <a16:creationId xmlns:a16="http://schemas.microsoft.com/office/drawing/2014/main" id="{341E6D42-8EAD-4CA5-9468-DDED6733E10C}"/>
            </a:ext>
          </a:extLst>
        </xdr:cNvPr>
        <xdr:cNvPicPr>
          <a:picLocks noChangeAspect="1"/>
        </xdr:cNvPicPr>
      </xdr:nvPicPr>
      <xdr:blipFill>
        <a:blip xmlns:r="http://schemas.openxmlformats.org/officeDocument/2006/relationships" r:embed="rId3"/>
        <a:stretch>
          <a:fillRect/>
        </a:stretch>
      </xdr:blipFill>
      <xdr:spPr>
        <a:xfrm>
          <a:off x="11005638" y="1778544"/>
          <a:ext cx="5686717" cy="98715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1647827</xdr:colOff>
      <xdr:row>4</xdr:row>
      <xdr:rowOff>104777</xdr:rowOff>
    </xdr:from>
    <xdr:to>
      <xdr:col>6</xdr:col>
      <xdr:colOff>76201</xdr:colOff>
      <xdr:row>9</xdr:row>
      <xdr:rowOff>76200</xdr:rowOff>
    </xdr:to>
    <xdr:pic>
      <xdr:nvPicPr>
        <xdr:cNvPr id="2" name="Picture 2">
          <a:extLst>
            <a:ext uri="{FF2B5EF4-FFF2-40B4-BE49-F238E27FC236}">
              <a16:creationId xmlns:a16="http://schemas.microsoft.com/office/drawing/2014/main" id="{00000000-0008-0000-0100-000002000000}"/>
            </a:ext>
          </a:extLst>
        </xdr:cNvPr>
        <xdr:cNvPicPr>
          <a:picLocks noChangeAspect="1" noChangeArrowheads="1"/>
        </xdr:cNvPicPr>
      </xdr:nvPicPr>
      <xdr:blipFill rotWithShape="1">
        <a:blip xmlns:r="http://schemas.openxmlformats.org/officeDocument/2006/relationships" r:embed="rId1" r:link="rId2">
          <a:extLst>
            <a:ext uri="{28A0092B-C50C-407E-A947-70E740481C1C}">
              <a14:useLocalDpi xmlns:a14="http://schemas.microsoft.com/office/drawing/2010/main" val="0"/>
            </a:ext>
          </a:extLst>
        </a:blip>
        <a:srcRect t="18300" r="83803" b="23530"/>
        <a:stretch>
          <a:fillRect/>
        </a:stretch>
      </xdr:blipFill>
      <xdr:spPr bwMode="auto">
        <a:xfrm>
          <a:off x="4533902" y="1685927"/>
          <a:ext cx="1038224" cy="13906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883920</xdr:colOff>
          <xdr:row>44</xdr:row>
          <xdr:rowOff>175260</xdr:rowOff>
        </xdr:from>
        <xdr:to>
          <xdr:col>8</xdr:col>
          <xdr:colOff>670560</xdr:colOff>
          <xdr:row>47</xdr:row>
          <xdr:rowOff>121920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Enviar</a:t>
              </a:r>
            </a:p>
          </xdr:txBody>
        </xdr:sp>
        <xdr:clientData fPrintsWithSheet="0"/>
      </xdr:twoCellAnchor>
    </mc:Choice>
    <mc:Fallback/>
  </mc:AlternateContent>
  <xdr:twoCellAnchor editAs="oneCell">
    <xdr:from>
      <xdr:col>3</xdr:col>
      <xdr:colOff>504613</xdr:colOff>
      <xdr:row>34</xdr:row>
      <xdr:rowOff>157480</xdr:rowOff>
    </xdr:from>
    <xdr:to>
      <xdr:col>5</xdr:col>
      <xdr:colOff>2304461</xdr:colOff>
      <xdr:row>39</xdr:row>
      <xdr:rowOff>77358</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a:stretch>
          <a:fillRect/>
        </a:stretch>
      </xdr:blipFill>
      <xdr:spPr>
        <a:xfrm>
          <a:off x="2181013" y="7670800"/>
          <a:ext cx="3019048" cy="864758"/>
        </a:xfrm>
        <a:prstGeom prst="rect">
          <a:avLst/>
        </a:prstGeom>
      </xdr:spPr>
    </xdr:pic>
    <xdr:clientData/>
  </xdr:twoCellAnchor>
  <xdr:twoCellAnchor>
    <xdr:from>
      <xdr:col>2</xdr:col>
      <xdr:colOff>428625</xdr:colOff>
      <xdr:row>33</xdr:row>
      <xdr:rowOff>38100</xdr:rowOff>
    </xdr:from>
    <xdr:to>
      <xdr:col>2</xdr:col>
      <xdr:colOff>542925</xdr:colOff>
      <xdr:row>33</xdr:row>
      <xdr:rowOff>171450</xdr:rowOff>
    </xdr:to>
    <xdr:sp macro="" textlink="">
      <xdr:nvSpPr>
        <xdr:cNvPr id="4" name="Flowchart: Process 3">
          <a:extLst>
            <a:ext uri="{FF2B5EF4-FFF2-40B4-BE49-F238E27FC236}">
              <a16:creationId xmlns:a16="http://schemas.microsoft.com/office/drawing/2014/main" id="{00000000-0008-0000-0100-000004000000}"/>
            </a:ext>
          </a:extLst>
        </xdr:cNvPr>
        <xdr:cNvSpPr/>
      </xdr:nvSpPr>
      <xdr:spPr>
        <a:xfrm>
          <a:off x="1485900" y="18430875"/>
          <a:ext cx="114300" cy="133350"/>
        </a:xfrm>
        <a:prstGeom prst="flowChartProcess">
          <a:avLst/>
        </a:prstGeom>
        <a:noFill/>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392905</xdr:colOff>
      <xdr:row>4</xdr:row>
      <xdr:rowOff>142875</xdr:rowOff>
    </xdr:from>
    <xdr:to>
      <xdr:col>11</xdr:col>
      <xdr:colOff>285748</xdr:colOff>
      <xdr:row>15</xdr:row>
      <xdr:rowOff>28554</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6893718" y="916781"/>
          <a:ext cx="1714499" cy="2088336"/>
        </a:xfrm>
        <a:prstGeom prst="rect">
          <a:avLst/>
        </a:prstGeom>
      </xdr:spPr>
    </xdr:pic>
    <xdr:clientData/>
  </xdr:twoCellAnchor>
  <xdr:twoCellAnchor editAs="oneCell">
    <xdr:from>
      <xdr:col>6</xdr:col>
      <xdr:colOff>476251</xdr:colOff>
      <xdr:row>24</xdr:row>
      <xdr:rowOff>214313</xdr:rowOff>
    </xdr:from>
    <xdr:to>
      <xdr:col>12</xdr:col>
      <xdr:colOff>542808</xdr:colOff>
      <xdr:row>27</xdr:row>
      <xdr:rowOff>182727</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rotWithShape="1">
        <a:blip xmlns:r="http://schemas.openxmlformats.org/officeDocument/2006/relationships" r:embed="rId2"/>
        <a:srcRect t="47832" r="72452"/>
        <a:stretch/>
      </xdr:blipFill>
      <xdr:spPr>
        <a:xfrm>
          <a:off x="5762626" y="6453188"/>
          <a:ext cx="3709870" cy="76613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392905</xdr:colOff>
      <xdr:row>4</xdr:row>
      <xdr:rowOff>142875</xdr:rowOff>
    </xdr:from>
    <xdr:to>
      <xdr:col>11</xdr:col>
      <xdr:colOff>285748</xdr:colOff>
      <xdr:row>15</xdr:row>
      <xdr:rowOff>28554</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6765130" y="914400"/>
          <a:ext cx="1721643" cy="2085954"/>
        </a:xfrm>
        <a:prstGeom prst="rect">
          <a:avLst/>
        </a:prstGeom>
      </xdr:spPr>
    </xdr:pic>
    <xdr:clientData/>
  </xdr:twoCellAnchor>
  <xdr:twoCellAnchor editAs="oneCell">
    <xdr:from>
      <xdr:col>6</xdr:col>
      <xdr:colOff>476251</xdr:colOff>
      <xdr:row>24</xdr:row>
      <xdr:rowOff>214313</xdr:rowOff>
    </xdr:from>
    <xdr:to>
      <xdr:col>12</xdr:col>
      <xdr:colOff>542808</xdr:colOff>
      <xdr:row>27</xdr:row>
      <xdr:rowOff>182727</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2"/>
        <a:srcRect t="47832" r="72452"/>
        <a:stretch/>
      </xdr:blipFill>
      <xdr:spPr>
        <a:xfrm>
          <a:off x="5629276" y="6453188"/>
          <a:ext cx="3724157" cy="76851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jorlys.isela@gmail.com"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mailto:jorlys.alvaradomorales@popular.com"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BEDF4-A496-4F20-8952-039F8D1717C1}">
  <sheetPr codeName="Sheet9">
    <tabColor rgb="FFFF0000"/>
    <pageSetUpPr fitToPage="1"/>
  </sheetPr>
  <dimension ref="A2:Z274"/>
  <sheetViews>
    <sheetView showGridLines="0" tabSelected="1" zoomScale="90" zoomScaleNormal="90" workbookViewId="0">
      <selection activeCell="M176" sqref="M176"/>
    </sheetView>
  </sheetViews>
  <sheetFormatPr defaultColWidth="9.109375" defaultRowHeight="14.4" x14ac:dyDescent="0.3"/>
  <cols>
    <col min="1" max="1" width="3.5546875" customWidth="1"/>
    <col min="2" max="5" width="8.88671875"/>
    <col min="6" max="6" width="39.109375" customWidth="1"/>
    <col min="7" max="7" width="22.44140625" customWidth="1"/>
    <col min="8" max="8" width="25.33203125" customWidth="1"/>
    <col min="9" max="9" width="6.44140625" customWidth="1"/>
    <col min="10" max="10" width="3.109375" customWidth="1"/>
    <col min="11" max="11" width="26.6640625" customWidth="1"/>
    <col min="12" max="12" width="14.109375" customWidth="1"/>
    <col min="13" max="13" width="14.88671875" customWidth="1"/>
    <col min="15" max="15" width="18.33203125" customWidth="1"/>
    <col min="16" max="16" width="23.33203125" customWidth="1"/>
    <col min="17" max="17" width="32.109375" customWidth="1"/>
    <col min="18" max="18" width="10.109375" customWidth="1"/>
    <col min="19" max="19" width="3.44140625" customWidth="1"/>
    <col min="20" max="20" width="7" customWidth="1"/>
    <col min="21" max="21" width="32" customWidth="1"/>
    <col min="22" max="22" width="28" customWidth="1"/>
    <col min="23" max="23" width="7.33203125" customWidth="1"/>
    <col min="24" max="24" width="12.88671875" customWidth="1"/>
    <col min="25" max="25" width="22.44140625" customWidth="1"/>
    <col min="26" max="29" width="8.88671875" customWidth="1"/>
  </cols>
  <sheetData>
    <row r="2" spans="2:23" ht="18" x14ac:dyDescent="0.35">
      <c r="B2" s="26" t="s">
        <v>9</v>
      </c>
    </row>
    <row r="3" spans="2:23" ht="18" x14ac:dyDescent="0.35">
      <c r="B3" s="25"/>
    </row>
    <row r="4" spans="2:23" ht="18" x14ac:dyDescent="0.35">
      <c r="B4" s="25" t="s">
        <v>57</v>
      </c>
    </row>
    <row r="5" spans="2:23" ht="18" x14ac:dyDescent="0.35">
      <c r="B5" s="25"/>
    </row>
    <row r="6" spans="2:23" ht="18" x14ac:dyDescent="0.35">
      <c r="B6" s="26" t="s">
        <v>58</v>
      </c>
    </row>
    <row r="7" spans="2:23" ht="15" thickBot="1" x14ac:dyDescent="0.35"/>
    <row r="8" spans="2:23" ht="20.25" customHeight="1" x14ac:dyDescent="0.3">
      <c r="B8" s="10"/>
      <c r="C8" s="11"/>
      <c r="D8" s="11"/>
      <c r="E8" s="11"/>
      <c r="F8" s="11"/>
      <c r="G8" s="11"/>
      <c r="H8" s="11"/>
      <c r="I8" s="11"/>
      <c r="J8" s="11"/>
      <c r="K8" s="11"/>
      <c r="L8" s="11"/>
      <c r="M8" s="11"/>
      <c r="N8" s="11"/>
      <c r="O8" s="11"/>
      <c r="P8" s="11"/>
      <c r="Q8" s="12"/>
      <c r="W8" s="3"/>
    </row>
    <row r="9" spans="2:23" ht="21.75" customHeight="1" x14ac:dyDescent="0.3">
      <c r="B9" s="13"/>
      <c r="P9" t="s">
        <v>42</v>
      </c>
      <c r="Q9" s="14"/>
    </row>
    <row r="10" spans="2:23" ht="22.5" customHeight="1" x14ac:dyDescent="0.3">
      <c r="B10" s="13"/>
      <c r="Q10" s="14"/>
    </row>
    <row r="11" spans="2:23" ht="25.8" x14ac:dyDescent="0.5">
      <c r="B11" s="13"/>
      <c r="G11" s="18"/>
      <c r="Q11" s="14"/>
    </row>
    <row r="12" spans="2:23" ht="25.8" x14ac:dyDescent="0.3">
      <c r="B12" s="13"/>
      <c r="I12" s="20" t="s">
        <v>10</v>
      </c>
      <c r="Q12" s="14"/>
    </row>
    <row r="13" spans="2:23" x14ac:dyDescent="0.3">
      <c r="B13" s="13"/>
      <c r="Q13" s="14"/>
    </row>
    <row r="14" spans="2:23" x14ac:dyDescent="0.3">
      <c r="B14" s="13"/>
      <c r="Q14" s="14"/>
    </row>
    <row r="15" spans="2:23" x14ac:dyDescent="0.3">
      <c r="B15" s="13"/>
      <c r="Q15" s="14"/>
    </row>
    <row r="16" spans="2:23" x14ac:dyDescent="0.3">
      <c r="B16" s="13"/>
      <c r="Q16" s="14"/>
    </row>
    <row r="17" spans="2:17" ht="15.6" x14ac:dyDescent="0.3">
      <c r="B17" s="13"/>
      <c r="C17" s="19" t="s">
        <v>11</v>
      </c>
      <c r="Q17" s="14"/>
    </row>
    <row r="18" spans="2:17" ht="15.6" x14ac:dyDescent="0.3">
      <c r="B18" s="13"/>
      <c r="C18" s="19" t="s">
        <v>12</v>
      </c>
      <c r="Q18" s="14"/>
    </row>
    <row r="19" spans="2:17" x14ac:dyDescent="0.3">
      <c r="B19" s="13"/>
      <c r="Q19" s="14"/>
    </row>
    <row r="20" spans="2:17" x14ac:dyDescent="0.3">
      <c r="B20" s="13"/>
      <c r="Q20" s="14"/>
    </row>
    <row r="21" spans="2:17" ht="19.2" x14ac:dyDescent="0.3">
      <c r="B21" s="13"/>
      <c r="C21" s="151" t="s">
        <v>13</v>
      </c>
      <c r="D21" s="151"/>
      <c r="E21" s="151"/>
      <c r="F21" s="151"/>
      <c r="Q21" s="14"/>
    </row>
    <row r="22" spans="2:17" x14ac:dyDescent="0.3">
      <c r="B22" s="13"/>
      <c r="Q22" s="14"/>
    </row>
    <row r="23" spans="2:17" ht="15.6" x14ac:dyDescent="0.3">
      <c r="B23" s="13"/>
      <c r="D23" s="19" t="s">
        <v>16</v>
      </c>
      <c r="G23" s="22" t="s">
        <v>55</v>
      </c>
      <c r="H23" s="22"/>
      <c r="I23" s="22"/>
      <c r="Q23" s="14"/>
    </row>
    <row r="24" spans="2:17" ht="15.6" x14ac:dyDescent="0.3">
      <c r="B24" s="13"/>
      <c r="G24" s="32"/>
      <c r="H24" s="32"/>
      <c r="I24" s="32"/>
      <c r="Q24" s="14"/>
    </row>
    <row r="25" spans="2:17" ht="15.6" x14ac:dyDescent="0.3">
      <c r="B25" s="13"/>
      <c r="G25" s="32"/>
      <c r="H25" s="32"/>
      <c r="I25" s="32"/>
      <c r="Q25" s="14"/>
    </row>
    <row r="26" spans="2:17" ht="19.2" x14ac:dyDescent="0.3">
      <c r="B26" s="13"/>
      <c r="C26" s="151" t="s">
        <v>15</v>
      </c>
      <c r="D26" s="151"/>
      <c r="E26" s="151"/>
      <c r="F26" s="151"/>
      <c r="G26" s="32"/>
      <c r="H26" s="32"/>
      <c r="I26" s="32"/>
      <c r="Q26" s="14"/>
    </row>
    <row r="27" spans="2:17" ht="15.6" x14ac:dyDescent="0.3">
      <c r="B27" s="13"/>
      <c r="G27" s="32"/>
      <c r="H27" s="32"/>
      <c r="I27" s="32"/>
      <c r="Q27" s="14"/>
    </row>
    <row r="28" spans="2:17" ht="15.6" x14ac:dyDescent="0.3">
      <c r="B28" s="13"/>
      <c r="D28" s="19" t="s">
        <v>17</v>
      </c>
      <c r="G28" s="150" t="s">
        <v>62</v>
      </c>
      <c r="H28" s="150"/>
      <c r="I28" s="150"/>
      <c r="Q28" s="14"/>
    </row>
    <row r="29" spans="2:17" ht="18" customHeight="1" thickBot="1" x14ac:dyDescent="0.35">
      <c r="B29" s="13"/>
      <c r="G29" s="32"/>
      <c r="H29" s="32"/>
      <c r="I29" s="32"/>
      <c r="Q29" s="14"/>
    </row>
    <row r="30" spans="2:17" ht="17.25" customHeight="1" thickBot="1" x14ac:dyDescent="0.35">
      <c r="B30" s="13"/>
      <c r="D30" s="19" t="s">
        <v>19</v>
      </c>
      <c r="G30" s="150" t="s">
        <v>20</v>
      </c>
      <c r="H30" s="150"/>
      <c r="I30" s="150"/>
      <c r="J30" s="46" t="s">
        <v>78</v>
      </c>
      <c r="Q30" s="14"/>
    </row>
    <row r="31" spans="2:17" ht="16.2" thickBot="1" x14ac:dyDescent="0.35">
      <c r="B31" s="13"/>
      <c r="G31" s="32"/>
      <c r="H31" s="32"/>
      <c r="I31" s="32"/>
      <c r="Q31" s="14"/>
    </row>
    <row r="32" spans="2:17" ht="16.2" thickBot="1" x14ac:dyDescent="0.35">
      <c r="B32" s="13"/>
      <c r="D32" s="19" t="s">
        <v>77</v>
      </c>
      <c r="G32" s="150" t="s">
        <v>285</v>
      </c>
      <c r="H32" s="150"/>
      <c r="I32" s="150"/>
      <c r="J32" s="46" t="s">
        <v>78</v>
      </c>
      <c r="Q32" s="14"/>
    </row>
    <row r="33" spans="2:20" ht="16.2" thickBot="1" x14ac:dyDescent="0.35">
      <c r="B33" s="13"/>
      <c r="G33" s="32"/>
      <c r="H33" s="32"/>
      <c r="I33" s="32"/>
      <c r="Q33" s="14"/>
    </row>
    <row r="34" spans="2:20" ht="19.2" customHeight="1" thickBot="1" x14ac:dyDescent="0.35">
      <c r="B34" s="13"/>
      <c r="D34" s="19" t="s">
        <v>18</v>
      </c>
      <c r="G34" s="159">
        <v>329800</v>
      </c>
      <c r="H34" s="159"/>
      <c r="I34" s="159"/>
      <c r="J34" s="46" t="s">
        <v>78</v>
      </c>
      <c r="Q34" s="14"/>
    </row>
    <row r="35" spans="2:20" ht="14.4" customHeight="1" thickBot="1" x14ac:dyDescent="0.35">
      <c r="B35" s="13"/>
      <c r="J35" s="45"/>
      <c r="Q35" s="14"/>
    </row>
    <row r="36" spans="2:20" ht="30" customHeight="1" thickBot="1" x14ac:dyDescent="0.35">
      <c r="B36" s="13"/>
      <c r="D36" s="160" t="s">
        <v>75</v>
      </c>
      <c r="E36" s="160"/>
      <c r="F36" s="160"/>
      <c r="G36" s="161">
        <v>75</v>
      </c>
      <c r="H36" s="161"/>
      <c r="I36" s="161"/>
      <c r="J36" s="46" t="s">
        <v>78</v>
      </c>
      <c r="Q36" s="14"/>
      <c r="S36" s="30"/>
      <c r="T36" s="23"/>
    </row>
    <row r="37" spans="2:20" ht="12.6" customHeight="1" thickBot="1" x14ac:dyDescent="0.35">
      <c r="B37" s="13"/>
      <c r="D37" s="42"/>
      <c r="E37" s="42"/>
      <c r="F37" s="42"/>
      <c r="G37" s="44"/>
      <c r="H37" s="44"/>
      <c r="I37" s="44"/>
      <c r="J37" s="45"/>
      <c r="Q37" s="14"/>
      <c r="S37" s="30"/>
      <c r="T37" s="23"/>
    </row>
    <row r="38" spans="2:20" ht="34.200000000000003" customHeight="1" thickBot="1" x14ac:dyDescent="0.35">
      <c r="B38" s="13"/>
      <c r="D38" s="160" t="s">
        <v>76</v>
      </c>
      <c r="E38" s="160"/>
      <c r="F38" s="160"/>
      <c r="G38" s="161">
        <v>30</v>
      </c>
      <c r="H38" s="161"/>
      <c r="I38" s="162"/>
      <c r="J38" s="46" t="s">
        <v>78</v>
      </c>
      <c r="Q38" s="14"/>
      <c r="S38" s="30"/>
      <c r="T38" s="23"/>
    </row>
    <row r="39" spans="2:20" x14ac:dyDescent="0.3">
      <c r="B39" s="13"/>
      <c r="D39" s="21"/>
      <c r="Q39" s="14"/>
    </row>
    <row r="40" spans="2:20" x14ac:dyDescent="0.3">
      <c r="B40" s="13"/>
      <c r="D40" s="21"/>
      <c r="Q40" s="14"/>
    </row>
    <row r="41" spans="2:20" ht="19.2" x14ac:dyDescent="0.3">
      <c r="B41" s="13"/>
      <c r="C41" s="151" t="s">
        <v>21</v>
      </c>
      <c r="D41" s="151"/>
      <c r="E41" s="151"/>
      <c r="F41" s="151"/>
      <c r="Q41" s="14"/>
    </row>
    <row r="42" spans="2:20" x14ac:dyDescent="0.3">
      <c r="B42" s="13"/>
      <c r="Q42" s="14"/>
    </row>
    <row r="43" spans="2:20" ht="15.6" x14ac:dyDescent="0.3">
      <c r="B43" s="13"/>
      <c r="D43" s="19" t="s">
        <v>22</v>
      </c>
      <c r="G43" s="153" t="s">
        <v>48</v>
      </c>
      <c r="H43" s="153"/>
      <c r="I43" s="153"/>
      <c r="Q43" s="14"/>
    </row>
    <row r="44" spans="2:20" x14ac:dyDescent="0.3">
      <c r="B44" s="13"/>
      <c r="Q44" s="14"/>
    </row>
    <row r="45" spans="2:20" ht="15.6" x14ac:dyDescent="0.3">
      <c r="B45" s="13"/>
      <c r="D45" s="19" t="s">
        <v>23</v>
      </c>
      <c r="G45" s="153" t="s">
        <v>49</v>
      </c>
      <c r="H45" s="153"/>
      <c r="I45" s="153"/>
      <c r="Q45" s="14"/>
    </row>
    <row r="46" spans="2:20" x14ac:dyDescent="0.3">
      <c r="B46" s="13"/>
      <c r="Q46" s="14"/>
    </row>
    <row r="47" spans="2:20" ht="15.6" x14ac:dyDescent="0.3">
      <c r="B47" s="13"/>
      <c r="D47" s="19" t="s">
        <v>24</v>
      </c>
      <c r="G47" s="153">
        <v>7879220000</v>
      </c>
      <c r="H47" s="153"/>
      <c r="I47" s="153"/>
      <c r="Q47" s="14"/>
    </row>
    <row r="48" spans="2:20" x14ac:dyDescent="0.3">
      <c r="B48" s="13"/>
      <c r="Q48" s="14"/>
    </row>
    <row r="49" spans="2:17" ht="15.6" x14ac:dyDescent="0.3">
      <c r="B49" s="13"/>
      <c r="D49" s="19" t="s">
        <v>25</v>
      </c>
      <c r="G49" s="154" t="s">
        <v>63</v>
      </c>
      <c r="H49" s="153"/>
      <c r="I49" s="153"/>
      <c r="Q49" s="14"/>
    </row>
    <row r="50" spans="2:17" ht="15" thickBot="1" x14ac:dyDescent="0.35">
      <c r="B50" s="13"/>
      <c r="Q50" s="14"/>
    </row>
    <row r="51" spans="2:17" ht="16.2" thickBot="1" x14ac:dyDescent="0.35">
      <c r="B51" s="13"/>
      <c r="D51" s="19" t="s">
        <v>29</v>
      </c>
      <c r="G51" s="150" t="s">
        <v>90</v>
      </c>
      <c r="H51" s="150"/>
      <c r="I51" s="150"/>
      <c r="J51" s="46" t="s">
        <v>78</v>
      </c>
      <c r="Q51" s="14"/>
    </row>
    <row r="52" spans="2:17" x14ac:dyDescent="0.3">
      <c r="B52" s="13"/>
      <c r="Q52" s="14"/>
    </row>
    <row r="53" spans="2:17" ht="15.6" x14ac:dyDescent="0.3">
      <c r="B53" s="13"/>
      <c r="D53" s="19" t="s">
        <v>28</v>
      </c>
      <c r="G53" s="150" t="s">
        <v>64</v>
      </c>
      <c r="H53" s="150"/>
      <c r="I53" s="150"/>
      <c r="Q53" s="14"/>
    </row>
    <row r="54" spans="2:17" ht="15" thickBot="1" x14ac:dyDescent="0.35">
      <c r="B54" s="13"/>
      <c r="Q54" s="14"/>
    </row>
    <row r="55" spans="2:17" ht="16.2" thickBot="1" x14ac:dyDescent="0.35">
      <c r="B55" s="13"/>
      <c r="D55" s="19" t="s">
        <v>27</v>
      </c>
      <c r="G55" s="142">
        <v>7000</v>
      </c>
      <c r="H55" s="142"/>
      <c r="I55" s="142"/>
      <c r="J55" s="46" t="s">
        <v>78</v>
      </c>
      <c r="Q55" s="14"/>
    </row>
    <row r="56" spans="2:17" ht="15" thickBot="1" x14ac:dyDescent="0.35">
      <c r="B56" s="13"/>
      <c r="Q56" s="14"/>
    </row>
    <row r="57" spans="2:17" ht="16.2" thickBot="1" x14ac:dyDescent="0.35">
      <c r="B57" s="13"/>
      <c r="D57" s="19" t="s">
        <v>26</v>
      </c>
      <c r="G57" s="142">
        <v>700</v>
      </c>
      <c r="H57" s="142"/>
      <c r="I57" s="142"/>
      <c r="J57" s="46" t="s">
        <v>78</v>
      </c>
      <c r="Q57" s="14"/>
    </row>
    <row r="58" spans="2:17" ht="15" thickBot="1" x14ac:dyDescent="0.35">
      <c r="B58" s="13"/>
      <c r="Q58" s="14"/>
    </row>
    <row r="59" spans="2:17" ht="16.2" thickBot="1" x14ac:dyDescent="0.35">
      <c r="B59" s="13"/>
      <c r="D59" s="19" t="s">
        <v>30</v>
      </c>
      <c r="G59" s="142">
        <v>300</v>
      </c>
      <c r="H59" s="142"/>
      <c r="I59" s="142"/>
      <c r="J59" s="46" t="s">
        <v>78</v>
      </c>
      <c r="Q59" s="14"/>
    </row>
    <row r="60" spans="2:17" ht="15" thickBot="1" x14ac:dyDescent="0.35">
      <c r="B60" s="13"/>
      <c r="Q60" s="14"/>
    </row>
    <row r="61" spans="2:17" ht="16.2" thickBot="1" x14ac:dyDescent="0.35">
      <c r="B61" s="13"/>
      <c r="C61" s="19"/>
      <c r="D61" s="19" t="s">
        <v>31</v>
      </c>
      <c r="G61" s="150" t="s">
        <v>90</v>
      </c>
      <c r="H61" s="150"/>
      <c r="I61" s="150"/>
      <c r="J61" s="46" t="s">
        <v>78</v>
      </c>
      <c r="Q61" s="14"/>
    </row>
    <row r="62" spans="2:17" x14ac:dyDescent="0.3">
      <c r="B62" s="13"/>
      <c r="Q62" s="14"/>
    </row>
    <row r="63" spans="2:17" x14ac:dyDescent="0.3">
      <c r="B63" s="13"/>
      <c r="Q63" s="14"/>
    </row>
    <row r="64" spans="2:17" ht="19.2" x14ac:dyDescent="0.3">
      <c r="B64" s="13"/>
      <c r="C64" s="151" t="s">
        <v>32</v>
      </c>
      <c r="D64" s="151"/>
      <c r="E64" s="151"/>
      <c r="F64" s="151"/>
      <c r="Q64" s="14"/>
    </row>
    <row r="65" spans="2:17" x14ac:dyDescent="0.3">
      <c r="B65" s="13"/>
      <c r="Q65" s="14"/>
    </row>
    <row r="66" spans="2:17" ht="15.6" x14ac:dyDescent="0.3">
      <c r="B66" s="13"/>
      <c r="D66" s="19" t="s">
        <v>33</v>
      </c>
      <c r="G66" s="152" t="s">
        <v>91</v>
      </c>
      <c r="H66" s="152"/>
      <c r="I66" s="152"/>
      <c r="Q66" s="14"/>
    </row>
    <row r="67" spans="2:17" x14ac:dyDescent="0.3">
      <c r="B67" s="13"/>
      <c r="Q67" s="14"/>
    </row>
    <row r="68" spans="2:17" ht="15.6" x14ac:dyDescent="0.3">
      <c r="B68" s="13"/>
      <c r="D68" s="19" t="s">
        <v>34</v>
      </c>
      <c r="G68" s="152" t="s">
        <v>49</v>
      </c>
      <c r="H68" s="152"/>
      <c r="I68" s="152"/>
      <c r="Q68" s="14"/>
    </row>
    <row r="69" spans="2:17" x14ac:dyDescent="0.3">
      <c r="B69" s="13"/>
      <c r="Q69" s="14"/>
    </row>
    <row r="70" spans="2:17" ht="15.6" x14ac:dyDescent="0.3">
      <c r="B70" s="13"/>
      <c r="D70" s="19" t="s">
        <v>35</v>
      </c>
      <c r="G70" s="150" t="s">
        <v>92</v>
      </c>
      <c r="H70" s="150"/>
      <c r="I70" s="150"/>
      <c r="Q70" s="14"/>
    </row>
    <row r="71" spans="2:17" ht="15" thickBot="1" x14ac:dyDescent="0.35">
      <c r="B71" s="13"/>
      <c r="Q71" s="14"/>
    </row>
    <row r="72" spans="2:17" ht="16.2" thickBot="1" x14ac:dyDescent="0.35">
      <c r="B72" s="13"/>
      <c r="D72" s="19" t="s">
        <v>36</v>
      </c>
      <c r="G72" s="142">
        <v>3000</v>
      </c>
      <c r="H72" s="142"/>
      <c r="I72" s="142"/>
      <c r="J72" s="46" t="s">
        <v>78</v>
      </c>
      <c r="Q72" s="14"/>
    </row>
    <row r="73" spans="2:17" ht="15" thickBot="1" x14ac:dyDescent="0.35">
      <c r="B73" s="13"/>
      <c r="Q73" s="14"/>
    </row>
    <row r="74" spans="2:17" ht="16.2" thickBot="1" x14ac:dyDescent="0.35">
      <c r="B74" s="13"/>
      <c r="D74" s="19" t="s">
        <v>37</v>
      </c>
      <c r="G74" s="142">
        <v>300</v>
      </c>
      <c r="H74" s="142"/>
      <c r="I74" s="142"/>
      <c r="J74" s="46" t="s">
        <v>78</v>
      </c>
      <c r="Q74" s="14"/>
    </row>
    <row r="75" spans="2:17" ht="15" thickBot="1" x14ac:dyDescent="0.35">
      <c r="B75" s="13"/>
      <c r="Q75" s="14"/>
    </row>
    <row r="76" spans="2:17" ht="16.2" thickBot="1" x14ac:dyDescent="0.35">
      <c r="B76" s="13"/>
      <c r="D76" s="19" t="s">
        <v>30</v>
      </c>
      <c r="G76" s="142">
        <v>0</v>
      </c>
      <c r="H76" s="142"/>
      <c r="I76" s="142"/>
      <c r="J76" s="46" t="s">
        <v>78</v>
      </c>
      <c r="Q76" s="14"/>
    </row>
    <row r="77" spans="2:17" x14ac:dyDescent="0.3">
      <c r="B77" s="13"/>
      <c r="Q77" s="14"/>
    </row>
    <row r="78" spans="2:17" x14ac:dyDescent="0.3">
      <c r="B78" s="13"/>
      <c r="Q78" s="14"/>
    </row>
    <row r="79" spans="2:17" ht="15.6" x14ac:dyDescent="0.3">
      <c r="B79" s="13"/>
      <c r="D79" s="19" t="s">
        <v>38</v>
      </c>
      <c r="Q79" s="14"/>
    </row>
    <row r="80" spans="2:17" x14ac:dyDescent="0.3">
      <c r="B80" s="13"/>
      <c r="Q80" s="14"/>
    </row>
    <row r="81" spans="2:17" x14ac:dyDescent="0.3">
      <c r="B81" s="13"/>
      <c r="Q81" s="14"/>
    </row>
    <row r="82" spans="2:17" x14ac:dyDescent="0.3">
      <c r="B82" s="13"/>
      <c r="Q82" s="14"/>
    </row>
    <row r="83" spans="2:17" x14ac:dyDescent="0.3">
      <c r="B83" s="13"/>
      <c r="Q83" s="14"/>
    </row>
    <row r="84" spans="2:17" x14ac:dyDescent="0.3">
      <c r="B84" s="13"/>
      <c r="Q84" s="14"/>
    </row>
    <row r="85" spans="2:17" x14ac:dyDescent="0.3">
      <c r="B85" s="13"/>
      <c r="Q85" s="14"/>
    </row>
    <row r="86" spans="2:17" ht="17.25" customHeight="1" x14ac:dyDescent="0.3">
      <c r="B86" s="13"/>
      <c r="Q86" s="14"/>
    </row>
    <row r="87" spans="2:17" ht="15" customHeight="1" x14ac:dyDescent="0.3">
      <c r="B87" s="13"/>
      <c r="D87" s="149" t="s">
        <v>39</v>
      </c>
      <c r="E87" s="149"/>
      <c r="F87" s="149"/>
      <c r="G87" s="149"/>
      <c r="H87" s="149"/>
      <c r="I87" s="149"/>
      <c r="Q87" s="14"/>
    </row>
    <row r="88" spans="2:17" x14ac:dyDescent="0.3">
      <c r="B88" s="13"/>
      <c r="Q88" s="14"/>
    </row>
    <row r="89" spans="2:17" ht="15" customHeight="1" x14ac:dyDescent="0.3">
      <c r="B89" s="13"/>
      <c r="D89" s="149" t="s">
        <v>40</v>
      </c>
      <c r="E89" s="149"/>
      <c r="F89" s="149"/>
      <c r="G89" s="149"/>
      <c r="H89" s="149"/>
      <c r="I89" s="149"/>
      <c r="J89" s="149"/>
      <c r="Q89" s="14"/>
    </row>
    <row r="90" spans="2:17" x14ac:dyDescent="0.3">
      <c r="B90" s="13"/>
      <c r="Q90" s="14"/>
    </row>
    <row r="91" spans="2:17" x14ac:dyDescent="0.3">
      <c r="B91" s="13"/>
      <c r="Q91" s="14"/>
    </row>
    <row r="92" spans="2:17" x14ac:dyDescent="0.3">
      <c r="B92" s="13"/>
      <c r="Q92" s="14"/>
    </row>
    <row r="93" spans="2:17" x14ac:dyDescent="0.3">
      <c r="B93" s="13"/>
      <c r="Q93" s="14"/>
    </row>
    <row r="94" spans="2:17" x14ac:dyDescent="0.3">
      <c r="B94" s="13"/>
      <c r="Q94" s="14"/>
    </row>
    <row r="95" spans="2:17" x14ac:dyDescent="0.3">
      <c r="B95" s="13"/>
      <c r="Q95" s="14"/>
    </row>
    <row r="96" spans="2:17" x14ac:dyDescent="0.3">
      <c r="B96" s="13"/>
      <c r="Q96" s="14"/>
    </row>
    <row r="97" spans="1:26" x14ac:dyDescent="0.3">
      <c r="B97" s="13"/>
      <c r="Q97" s="14"/>
    </row>
    <row r="98" spans="1:26" ht="15.6" x14ac:dyDescent="0.3">
      <c r="B98" s="13"/>
      <c r="D98" s="19" t="s">
        <v>41</v>
      </c>
      <c r="Q98" s="14"/>
    </row>
    <row r="99" spans="1:26" x14ac:dyDescent="0.3">
      <c r="B99" s="13"/>
      <c r="Q99" s="14"/>
    </row>
    <row r="100" spans="1:26" x14ac:dyDescent="0.3">
      <c r="B100" s="13"/>
      <c r="C100" s="141" t="s">
        <v>59</v>
      </c>
      <c r="D100" s="141"/>
      <c r="E100" s="141"/>
      <c r="F100" s="141"/>
      <c r="G100" s="141"/>
      <c r="H100" s="141"/>
      <c r="I100" s="141"/>
      <c r="J100" s="141"/>
      <c r="K100" s="141"/>
      <c r="L100" s="141"/>
      <c r="M100" s="141"/>
      <c r="N100" s="141"/>
      <c r="O100" s="141"/>
      <c r="P100" s="141"/>
      <c r="Q100" s="14"/>
    </row>
    <row r="101" spans="1:26" x14ac:dyDescent="0.3">
      <c r="B101" s="13"/>
      <c r="C101" s="141"/>
      <c r="D101" s="141"/>
      <c r="E101" s="141"/>
      <c r="F101" s="141"/>
      <c r="G101" s="141"/>
      <c r="H101" s="141"/>
      <c r="I101" s="141"/>
      <c r="J101" s="141"/>
      <c r="K101" s="141"/>
      <c r="L101" s="141"/>
      <c r="M101" s="141"/>
      <c r="N101" s="141"/>
      <c r="O101" s="141"/>
      <c r="P101" s="141"/>
      <c r="Q101" s="14"/>
    </row>
    <row r="102" spans="1:26" x14ac:dyDescent="0.3">
      <c r="B102" s="13"/>
      <c r="C102" s="141"/>
      <c r="D102" s="141"/>
      <c r="E102" s="141"/>
      <c r="F102" s="141"/>
      <c r="G102" s="141"/>
      <c r="H102" s="141"/>
      <c r="I102" s="141"/>
      <c r="J102" s="141"/>
      <c r="K102" s="141"/>
      <c r="L102" s="141"/>
      <c r="M102" s="141"/>
      <c r="N102" s="141"/>
      <c r="O102" s="141"/>
      <c r="P102" s="141"/>
      <c r="Q102" s="14"/>
    </row>
    <row r="103" spans="1:26" x14ac:dyDescent="0.3">
      <c r="B103" s="13"/>
      <c r="C103" s="141"/>
      <c r="D103" s="141"/>
      <c r="E103" s="141"/>
      <c r="F103" s="141"/>
      <c r="G103" s="141"/>
      <c r="H103" s="141"/>
      <c r="I103" s="141"/>
      <c r="J103" s="141"/>
      <c r="K103" s="141"/>
      <c r="L103" s="141"/>
      <c r="M103" s="141"/>
      <c r="N103" s="141"/>
      <c r="O103" s="141"/>
      <c r="P103" s="141"/>
      <c r="Q103" s="14"/>
    </row>
    <row r="104" spans="1:26" x14ac:dyDescent="0.3">
      <c r="B104" s="13"/>
      <c r="C104" s="141"/>
      <c r="D104" s="141"/>
      <c r="E104" s="141"/>
      <c r="F104" s="141"/>
      <c r="G104" s="141"/>
      <c r="H104" s="141"/>
      <c r="I104" s="141"/>
      <c r="J104" s="141"/>
      <c r="K104" s="141"/>
      <c r="L104" s="141"/>
      <c r="M104" s="141"/>
      <c r="N104" s="141"/>
      <c r="O104" s="141"/>
      <c r="P104" s="141"/>
      <c r="Q104" s="14"/>
    </row>
    <row r="105" spans="1:26" x14ac:dyDescent="0.3">
      <c r="B105" s="13"/>
      <c r="C105" s="141"/>
      <c r="D105" s="141"/>
      <c r="E105" s="141"/>
      <c r="F105" s="141"/>
      <c r="G105" s="141"/>
      <c r="H105" s="141"/>
      <c r="I105" s="141"/>
      <c r="J105" s="141"/>
      <c r="K105" s="141"/>
      <c r="L105" s="141"/>
      <c r="M105" s="141"/>
      <c r="N105" s="141"/>
      <c r="O105" s="141"/>
      <c r="P105" s="141"/>
      <c r="Q105" s="14"/>
    </row>
    <row r="106" spans="1:26" x14ac:dyDescent="0.3">
      <c r="B106" s="13"/>
      <c r="C106" s="141"/>
      <c r="D106" s="141"/>
      <c r="E106" s="141"/>
      <c r="F106" s="141"/>
      <c r="G106" s="141"/>
      <c r="H106" s="141"/>
      <c r="I106" s="141"/>
      <c r="J106" s="141"/>
      <c r="K106" s="141"/>
      <c r="L106" s="141"/>
      <c r="M106" s="141"/>
      <c r="N106" s="141"/>
      <c r="O106" s="141"/>
      <c r="P106" s="141"/>
      <c r="Q106" s="14"/>
    </row>
    <row r="107" spans="1:26" x14ac:dyDescent="0.3">
      <c r="B107" s="13"/>
      <c r="C107" s="141"/>
      <c r="D107" s="141"/>
      <c r="E107" s="141"/>
      <c r="F107" s="141"/>
      <c r="G107" s="141"/>
      <c r="H107" s="141"/>
      <c r="I107" s="141"/>
      <c r="J107" s="141"/>
      <c r="K107" s="141"/>
      <c r="L107" s="141"/>
      <c r="M107" s="141"/>
      <c r="N107" s="141"/>
      <c r="O107" s="141"/>
      <c r="P107" s="141"/>
      <c r="Q107" s="14"/>
    </row>
    <row r="108" spans="1:26" x14ac:dyDescent="0.3">
      <c r="B108" s="13"/>
      <c r="C108" s="141"/>
      <c r="D108" s="141"/>
      <c r="E108" s="141"/>
      <c r="F108" s="141"/>
      <c r="G108" s="141"/>
      <c r="H108" s="141"/>
      <c r="I108" s="141"/>
      <c r="J108" s="141"/>
      <c r="K108" s="141"/>
      <c r="L108" s="141"/>
      <c r="M108" s="141"/>
      <c r="N108" s="141"/>
      <c r="O108" s="141"/>
      <c r="P108" s="141"/>
      <c r="Q108" s="14"/>
    </row>
    <row r="109" spans="1:26" x14ac:dyDescent="0.3">
      <c r="B109" s="13"/>
      <c r="C109" s="141"/>
      <c r="D109" s="141"/>
      <c r="E109" s="141"/>
      <c r="F109" s="141"/>
      <c r="G109" s="141"/>
      <c r="H109" s="141"/>
      <c r="I109" s="141"/>
      <c r="J109" s="141"/>
      <c r="K109" s="141"/>
      <c r="L109" s="141"/>
      <c r="M109" s="141"/>
      <c r="N109" s="141"/>
      <c r="O109" s="141"/>
      <c r="P109" s="141"/>
      <c r="Q109" s="14"/>
    </row>
    <row r="110" spans="1:26" ht="15" thickBot="1" x14ac:dyDescent="0.35">
      <c r="B110" s="15"/>
      <c r="C110" s="16"/>
      <c r="D110" s="16"/>
      <c r="E110" s="16"/>
      <c r="F110" s="16"/>
      <c r="G110" s="16"/>
      <c r="H110" s="16"/>
      <c r="I110" s="16"/>
      <c r="J110" s="16"/>
      <c r="K110" s="16"/>
      <c r="L110" s="16"/>
      <c r="M110" s="16"/>
      <c r="N110" s="16"/>
      <c r="O110" s="16"/>
      <c r="P110" s="16"/>
      <c r="Q110" s="17"/>
    </row>
    <row r="111" spans="1:26" ht="15" thickBot="1" x14ac:dyDescent="0.35"/>
    <row r="112" spans="1:26" ht="6.75" customHeight="1" thickBot="1" x14ac:dyDescent="0.35">
      <c r="A112" s="155"/>
      <c r="B112" s="156"/>
      <c r="C112" s="156"/>
      <c r="D112" s="156"/>
      <c r="E112" s="156"/>
      <c r="F112" s="156"/>
      <c r="G112" s="156"/>
      <c r="H112" s="156"/>
      <c r="I112" s="156"/>
      <c r="J112" s="156"/>
      <c r="K112" s="156"/>
      <c r="L112" s="156"/>
      <c r="M112" s="156"/>
      <c r="N112" s="156"/>
      <c r="O112" s="156"/>
      <c r="P112" s="156"/>
      <c r="Q112" s="156"/>
      <c r="R112" s="156"/>
      <c r="S112" s="156"/>
      <c r="T112" s="156"/>
      <c r="U112" s="156"/>
      <c r="V112" s="156"/>
      <c r="W112" s="156"/>
      <c r="X112" s="156"/>
      <c r="Y112" s="156"/>
      <c r="Z112" s="157"/>
    </row>
    <row r="113" spans="1:26" x14ac:dyDescent="0.3">
      <c r="A113" s="147">
        <v>1</v>
      </c>
      <c r="B113" s="144"/>
      <c r="I113" s="143">
        <v>2</v>
      </c>
      <c r="J113" s="144"/>
      <c r="Z113" s="101"/>
    </row>
    <row r="114" spans="1:26" x14ac:dyDescent="0.3">
      <c r="A114" s="147"/>
      <c r="B114" s="144"/>
      <c r="I114" s="143"/>
      <c r="J114" s="144"/>
      <c r="Z114" s="51"/>
    </row>
    <row r="115" spans="1:26" ht="15" thickBot="1" x14ac:dyDescent="0.35">
      <c r="A115" s="148"/>
      <c r="B115" s="146"/>
      <c r="I115" s="145"/>
      <c r="J115" s="146"/>
      <c r="Z115" s="51"/>
    </row>
    <row r="116" spans="1:26" ht="17.25" customHeight="1" x14ac:dyDescent="0.3">
      <c r="A116" s="49"/>
      <c r="B116" s="50"/>
      <c r="I116" s="53"/>
      <c r="J116" s="55" t="s">
        <v>93</v>
      </c>
      <c r="Z116" s="51"/>
    </row>
    <row r="117" spans="1:26" ht="18" x14ac:dyDescent="0.3">
      <c r="A117" s="52" t="s">
        <v>89</v>
      </c>
      <c r="I117" s="52"/>
      <c r="Z117" s="51"/>
    </row>
    <row r="118" spans="1:26" ht="15.6" x14ac:dyDescent="0.3">
      <c r="A118" s="53"/>
      <c r="I118" s="53"/>
      <c r="J118" s="9">
        <v>1</v>
      </c>
      <c r="K118" s="32" t="s">
        <v>45</v>
      </c>
      <c r="O118" s="9">
        <v>4</v>
      </c>
      <c r="P118" t="s">
        <v>99</v>
      </c>
      <c r="R118" s="58">
        <v>1.7500000000000002E-2</v>
      </c>
      <c r="T118" s="9">
        <v>8</v>
      </c>
      <c r="U118" t="s">
        <v>105</v>
      </c>
      <c r="Z118" s="51"/>
    </row>
    <row r="119" spans="1:26" ht="15.6" x14ac:dyDescent="0.3">
      <c r="A119" s="54">
        <v>1</v>
      </c>
      <c r="B119" s="140" t="s">
        <v>80</v>
      </c>
      <c r="C119" s="140"/>
      <c r="D119" s="140"/>
      <c r="E119" s="140"/>
      <c r="F119" s="140"/>
      <c r="G119" s="4" t="str">
        <f>G30</f>
        <v>Residencia Principal</v>
      </c>
      <c r="I119" s="53"/>
      <c r="J119" s="32"/>
      <c r="K119" s="60" t="s">
        <v>6</v>
      </c>
      <c r="O119" s="32"/>
      <c r="T119" s="32"/>
      <c r="U119" s="45" t="s">
        <v>103</v>
      </c>
      <c r="Z119" s="51"/>
    </row>
    <row r="120" spans="1:26" ht="18.75" customHeight="1" x14ac:dyDescent="0.3">
      <c r="A120" s="54">
        <v>2</v>
      </c>
      <c r="B120" s="140" t="s">
        <v>79</v>
      </c>
      <c r="C120" s="140"/>
      <c r="D120" s="140" t="s">
        <v>79</v>
      </c>
      <c r="E120" s="140"/>
      <c r="F120" s="140" t="s">
        <v>79</v>
      </c>
      <c r="G120" s="4" t="str">
        <f>G32</f>
        <v>SAN JUAN</v>
      </c>
      <c r="I120" s="53"/>
      <c r="J120" s="32"/>
      <c r="K120" s="2" t="s">
        <v>1</v>
      </c>
      <c r="L120" s="2" t="s">
        <v>4</v>
      </c>
      <c r="M120" s="2" t="s">
        <v>5</v>
      </c>
      <c r="N120" s="111" t="s">
        <v>2</v>
      </c>
      <c r="O120" s="121">
        <v>5</v>
      </c>
      <c r="P120" s="45" t="s">
        <v>306</v>
      </c>
      <c r="R120" s="90">
        <f>IF((L130/100)&gt;0.0095,0.0055,0.005)</f>
        <v>5.4999999999999997E-3</v>
      </c>
      <c r="T120" s="32"/>
      <c r="U120" s="2" t="s">
        <v>1</v>
      </c>
      <c r="V120" s="106" t="s">
        <v>47</v>
      </c>
      <c r="Z120" s="51"/>
    </row>
    <row r="121" spans="1:26" ht="15.6" x14ac:dyDescent="0.3">
      <c r="A121" s="54">
        <v>3</v>
      </c>
      <c r="B121" s="140" t="s">
        <v>81</v>
      </c>
      <c r="C121" s="140"/>
      <c r="D121" s="140"/>
      <c r="E121" s="140"/>
      <c r="F121" s="140"/>
      <c r="G121" s="48">
        <f>G36</f>
        <v>75</v>
      </c>
      <c r="I121" s="53"/>
      <c r="J121" s="32"/>
      <c r="K121" s="4" t="s">
        <v>3</v>
      </c>
      <c r="L121" s="4">
        <v>30</v>
      </c>
      <c r="M121" s="6">
        <v>6.5000000000000002E-2</v>
      </c>
      <c r="N121" s="112">
        <v>5.6099999999999997E-2</v>
      </c>
      <c r="O121" s="32"/>
      <c r="P121" s="120" t="s">
        <v>302</v>
      </c>
      <c r="T121" s="32"/>
      <c r="U121" s="8" t="s">
        <v>3</v>
      </c>
      <c r="V121" s="5">
        <v>0.43</v>
      </c>
      <c r="Z121" s="51"/>
    </row>
    <row r="122" spans="1:26" ht="15.6" x14ac:dyDescent="0.3">
      <c r="A122" s="54">
        <v>4</v>
      </c>
      <c r="B122" s="140" t="s">
        <v>82</v>
      </c>
      <c r="C122" s="140"/>
      <c r="D122" s="140" t="s">
        <v>82</v>
      </c>
      <c r="E122" s="140"/>
      <c r="F122" s="140" t="s">
        <v>82</v>
      </c>
      <c r="G122" s="47">
        <f>G38</f>
        <v>30</v>
      </c>
      <c r="I122" s="53"/>
      <c r="J122" s="32"/>
      <c r="K122" s="4" t="s">
        <v>8</v>
      </c>
      <c r="L122" s="4">
        <v>30</v>
      </c>
      <c r="M122" s="57">
        <v>4.4999999999999998E-2</v>
      </c>
      <c r="N122" s="112">
        <v>5.8700000000000002E-2</v>
      </c>
      <c r="O122" s="32"/>
      <c r="P122" s="120" t="s">
        <v>303</v>
      </c>
      <c r="T122" s="32"/>
      <c r="U122" s="8" t="s">
        <v>101</v>
      </c>
      <c r="V122" s="59">
        <v>0.45</v>
      </c>
      <c r="Z122" s="51"/>
    </row>
    <row r="123" spans="1:26" ht="15.6" x14ac:dyDescent="0.3">
      <c r="A123" s="54">
        <v>5</v>
      </c>
      <c r="B123" s="140" t="s">
        <v>44</v>
      </c>
      <c r="C123" s="140"/>
      <c r="D123" s="140" t="s">
        <v>44</v>
      </c>
      <c r="E123" s="140"/>
      <c r="F123" s="140" t="s">
        <v>44</v>
      </c>
      <c r="G123" s="47">
        <f>G34</f>
        <v>329800</v>
      </c>
      <c r="I123" s="53"/>
      <c r="J123" s="32"/>
      <c r="K123" s="4" t="s">
        <v>53</v>
      </c>
      <c r="L123" s="4">
        <v>30</v>
      </c>
      <c r="M123" s="6">
        <v>7.0000000000000007E-2</v>
      </c>
      <c r="N123" s="112">
        <v>6.6299999999999998E-2</v>
      </c>
      <c r="O123" s="32"/>
      <c r="P123" s="120" t="s">
        <v>304</v>
      </c>
      <c r="T123" s="32"/>
      <c r="U123" s="8" t="s">
        <v>8</v>
      </c>
      <c r="V123" s="5">
        <v>0.41</v>
      </c>
      <c r="Z123" s="51"/>
    </row>
    <row r="124" spans="1:26" ht="15.75" customHeight="1" x14ac:dyDescent="0.3">
      <c r="A124" s="54">
        <v>6</v>
      </c>
      <c r="B124" s="140" t="s">
        <v>83</v>
      </c>
      <c r="C124" s="140"/>
      <c r="D124" s="140" t="s">
        <v>83</v>
      </c>
      <c r="E124" s="140"/>
      <c r="F124" s="140" t="s">
        <v>83</v>
      </c>
      <c r="G124" s="47">
        <f>G55</f>
        <v>7000</v>
      </c>
      <c r="I124" s="53"/>
      <c r="J124" s="32"/>
      <c r="N124" s="158" t="s">
        <v>305</v>
      </c>
      <c r="O124" s="158"/>
      <c r="P124" s="120" t="s">
        <v>161</v>
      </c>
      <c r="T124" s="32"/>
      <c r="Z124" s="51"/>
    </row>
    <row r="125" spans="1:26" ht="15.75" customHeight="1" x14ac:dyDescent="0.3">
      <c r="A125" s="54">
        <v>7</v>
      </c>
      <c r="B125" s="140" t="s">
        <v>84</v>
      </c>
      <c r="C125" s="140"/>
      <c r="D125" s="140" t="s">
        <v>84</v>
      </c>
      <c r="E125" s="140"/>
      <c r="F125" s="140" t="s">
        <v>84</v>
      </c>
      <c r="G125" s="47">
        <f>G72</f>
        <v>3000</v>
      </c>
      <c r="I125" s="53"/>
      <c r="J125" s="9">
        <v>2</v>
      </c>
      <c r="K125" t="s">
        <v>94</v>
      </c>
      <c r="L125" s="1">
        <v>360</v>
      </c>
      <c r="M125" t="s">
        <v>95</v>
      </c>
      <c r="N125" s="158"/>
      <c r="O125" s="158"/>
      <c r="T125" s="9">
        <v>9</v>
      </c>
      <c r="U125" t="s">
        <v>107</v>
      </c>
      <c r="V125" s="58">
        <v>2.1499999999999998E-2</v>
      </c>
      <c r="Z125" s="51"/>
    </row>
    <row r="126" spans="1:26" ht="15.6" x14ac:dyDescent="0.3">
      <c r="A126" s="54">
        <v>8</v>
      </c>
      <c r="B126" s="140" t="s">
        <v>85</v>
      </c>
      <c r="C126" s="140"/>
      <c r="D126" s="140" t="s">
        <v>85</v>
      </c>
      <c r="E126" s="140"/>
      <c r="F126" s="140" t="s">
        <v>85</v>
      </c>
      <c r="G126" s="47">
        <f>G57</f>
        <v>700</v>
      </c>
      <c r="I126" s="53"/>
      <c r="J126" s="32"/>
      <c r="O126" s="9">
        <v>6</v>
      </c>
      <c r="P126" t="s">
        <v>100</v>
      </c>
      <c r="R126" s="90">
        <v>3.3E-3</v>
      </c>
      <c r="T126" s="32"/>
      <c r="Z126" s="51"/>
    </row>
    <row r="127" spans="1:26" ht="17.25" customHeight="1" x14ac:dyDescent="0.3">
      <c r="A127" s="54">
        <v>9</v>
      </c>
      <c r="B127" s="140" t="s">
        <v>86</v>
      </c>
      <c r="C127" s="140"/>
      <c r="D127" s="140" t="s">
        <v>86</v>
      </c>
      <c r="E127" s="140"/>
      <c r="F127" s="140" t="s">
        <v>86</v>
      </c>
      <c r="G127" s="47">
        <f>G59</f>
        <v>300</v>
      </c>
      <c r="I127" s="53"/>
      <c r="J127" s="9">
        <v>3</v>
      </c>
      <c r="K127" t="s">
        <v>96</v>
      </c>
      <c r="O127" s="32"/>
      <c r="T127" s="9">
        <v>10</v>
      </c>
      <c r="U127" t="s">
        <v>183</v>
      </c>
      <c r="Z127" s="51"/>
    </row>
    <row r="128" spans="1:26" ht="15.6" x14ac:dyDescent="0.3">
      <c r="A128" s="54">
        <v>10</v>
      </c>
      <c r="B128" s="140" t="s">
        <v>87</v>
      </c>
      <c r="C128" s="140"/>
      <c r="D128" s="140" t="s">
        <v>87</v>
      </c>
      <c r="E128" s="140"/>
      <c r="F128" s="140" t="s">
        <v>87</v>
      </c>
      <c r="G128" s="47">
        <f>G74</f>
        <v>300</v>
      </c>
      <c r="I128" s="53"/>
      <c r="K128" s="45" t="s">
        <v>97</v>
      </c>
      <c r="O128" s="9">
        <v>7</v>
      </c>
      <c r="P128" t="s">
        <v>104</v>
      </c>
      <c r="T128" s="32"/>
      <c r="U128" s="45" t="s">
        <v>180</v>
      </c>
      <c r="Z128" s="51"/>
    </row>
    <row r="129" spans="1:26" ht="27.6" x14ac:dyDescent="0.3">
      <c r="A129" s="54">
        <v>11</v>
      </c>
      <c r="B129" s="140" t="s">
        <v>88</v>
      </c>
      <c r="C129" s="140"/>
      <c r="D129" s="140" t="s">
        <v>88</v>
      </c>
      <c r="E129" s="140"/>
      <c r="F129" s="140" t="s">
        <v>88</v>
      </c>
      <c r="G129" s="47">
        <f>G76</f>
        <v>0</v>
      </c>
      <c r="I129" s="53"/>
      <c r="K129" s="2" t="s">
        <v>1</v>
      </c>
      <c r="L129" s="2" t="s">
        <v>182</v>
      </c>
      <c r="P129" s="45" t="s">
        <v>102</v>
      </c>
      <c r="U129" s="2" t="s">
        <v>1</v>
      </c>
      <c r="V129" s="106" t="s">
        <v>181</v>
      </c>
      <c r="Z129" s="51"/>
    </row>
    <row r="130" spans="1:26" x14ac:dyDescent="0.3">
      <c r="A130" s="54">
        <v>12</v>
      </c>
      <c r="B130" t="s">
        <v>179</v>
      </c>
      <c r="G130" s="113" t="str">
        <f>G51</f>
        <v>Sí</v>
      </c>
      <c r="I130" s="53"/>
      <c r="K130" s="4" t="s">
        <v>98</v>
      </c>
      <c r="L130" s="6">
        <v>0.96499999999999997</v>
      </c>
      <c r="P130" s="2" t="s">
        <v>1</v>
      </c>
      <c r="Q130" s="106" t="s">
        <v>46</v>
      </c>
      <c r="U130" s="8" t="s">
        <v>3</v>
      </c>
      <c r="V130" s="7">
        <f>VLOOKUP(G120,'FHA_HUD Loan Limits Reference'!C4:F83,4,TRUE)</f>
        <v>498257</v>
      </c>
      <c r="W130" s="3" t="s">
        <v>301</v>
      </c>
      <c r="Z130" s="51"/>
    </row>
    <row r="131" spans="1:26" x14ac:dyDescent="0.3">
      <c r="A131" s="54">
        <v>13</v>
      </c>
      <c r="B131" t="s">
        <v>112</v>
      </c>
      <c r="G131" s="8">
        <v>1</v>
      </c>
      <c r="I131" s="53"/>
      <c r="K131" s="4" t="s">
        <v>8</v>
      </c>
      <c r="L131" s="57">
        <v>1</v>
      </c>
      <c r="P131" s="8" t="s">
        <v>3</v>
      </c>
      <c r="Q131" s="5">
        <v>0.31</v>
      </c>
      <c r="U131" s="8" t="s">
        <v>101</v>
      </c>
      <c r="V131" s="107">
        <v>766550</v>
      </c>
      <c r="Z131" s="51"/>
    </row>
    <row r="132" spans="1:26" x14ac:dyDescent="0.3">
      <c r="A132" s="53"/>
      <c r="I132" s="53"/>
      <c r="K132" s="4" t="s">
        <v>53</v>
      </c>
      <c r="L132" s="56">
        <v>0.8</v>
      </c>
      <c r="P132" s="8" t="s">
        <v>101</v>
      </c>
      <c r="Q132" s="59">
        <v>0.28000000000000003</v>
      </c>
      <c r="U132" s="8" t="s">
        <v>8</v>
      </c>
      <c r="V132" s="5" t="s">
        <v>7</v>
      </c>
      <c r="Z132" s="51"/>
    </row>
    <row r="133" spans="1:26" x14ac:dyDescent="0.3">
      <c r="A133" s="53"/>
      <c r="I133" s="53"/>
      <c r="P133" s="8" t="s">
        <v>8</v>
      </c>
      <c r="Q133" s="4" t="s">
        <v>7</v>
      </c>
      <c r="Z133" s="51"/>
    </row>
    <row r="134" spans="1:26" ht="15" thickBot="1" x14ac:dyDescent="0.35">
      <c r="A134" s="53"/>
      <c r="I134" s="53"/>
      <c r="Z134" s="102"/>
    </row>
    <row r="135" spans="1:26" ht="7.5" customHeight="1" thickBot="1" x14ac:dyDescent="0.4">
      <c r="A135" s="97"/>
      <c r="B135" s="98"/>
      <c r="C135" s="99"/>
      <c r="D135" s="99"/>
      <c r="E135" s="99"/>
      <c r="F135" s="99"/>
      <c r="G135" s="99"/>
      <c r="H135" s="99"/>
      <c r="I135" s="99"/>
      <c r="J135" s="99"/>
      <c r="K135" s="99"/>
      <c r="L135" s="99"/>
      <c r="M135" s="99"/>
      <c r="N135" s="99"/>
      <c r="O135" s="99"/>
      <c r="P135" s="99"/>
      <c r="Q135" s="99"/>
      <c r="R135" s="99"/>
      <c r="S135" s="99"/>
      <c r="T135" s="99"/>
      <c r="U135" s="99"/>
      <c r="V135" s="99"/>
      <c r="W135" s="99"/>
      <c r="X135" s="99"/>
      <c r="Y135" s="99"/>
      <c r="Z135" s="100"/>
    </row>
    <row r="136" spans="1:26" x14ac:dyDescent="0.3">
      <c r="A136" s="143">
        <v>3</v>
      </c>
      <c r="B136" s="144"/>
      <c r="Z136" s="101"/>
    </row>
    <row r="137" spans="1:26" x14ac:dyDescent="0.3">
      <c r="A137" s="143"/>
      <c r="B137" s="144"/>
      <c r="Z137" s="51"/>
    </row>
    <row r="138" spans="1:26" ht="15" thickBot="1" x14ac:dyDescent="0.35">
      <c r="A138" s="145"/>
      <c r="B138" s="146"/>
      <c r="Z138" s="51"/>
    </row>
    <row r="139" spans="1:26" x14ac:dyDescent="0.3">
      <c r="Z139" s="51"/>
    </row>
    <row r="140" spans="1:26" ht="18" x14ac:dyDescent="0.3">
      <c r="A140" s="86" t="s">
        <v>106</v>
      </c>
      <c r="Z140" s="51"/>
    </row>
    <row r="141" spans="1:26" ht="15" customHeight="1" thickBot="1" x14ac:dyDescent="0.35">
      <c r="Z141" s="102"/>
    </row>
    <row r="142" spans="1:26" ht="14.4" customHeight="1" x14ac:dyDescent="0.3">
      <c r="A142" s="84"/>
      <c r="B142" s="134" t="s">
        <v>8</v>
      </c>
      <c r="C142" s="135"/>
      <c r="D142" s="11"/>
      <c r="E142" s="11"/>
      <c r="F142" s="11"/>
      <c r="G142" s="11"/>
      <c r="H142" s="12"/>
      <c r="J142" s="84"/>
      <c r="K142" s="134" t="s">
        <v>3</v>
      </c>
      <c r="L142" s="135"/>
      <c r="M142" s="11"/>
      <c r="N142" s="11"/>
      <c r="O142" s="11"/>
      <c r="P142" s="11"/>
      <c r="Q142" s="12"/>
      <c r="S142" s="84"/>
      <c r="T142" s="134" t="s">
        <v>173</v>
      </c>
      <c r="U142" s="135"/>
      <c r="V142" s="11"/>
      <c r="W142" s="11"/>
      <c r="X142" s="11"/>
      <c r="Y142" s="11"/>
      <c r="Z142" s="12"/>
    </row>
    <row r="143" spans="1:26" ht="15.6" customHeight="1" x14ac:dyDescent="0.3">
      <c r="A143" s="84"/>
      <c r="B143" s="136"/>
      <c r="C143" s="137"/>
      <c r="E143" s="32"/>
      <c r="F143" s="62" t="s">
        <v>43</v>
      </c>
      <c r="G143" s="61" t="s">
        <v>8</v>
      </c>
      <c r="H143" s="14"/>
      <c r="J143" s="84"/>
      <c r="K143" s="136"/>
      <c r="L143" s="137"/>
      <c r="N143" s="32"/>
      <c r="O143" s="62" t="s">
        <v>43</v>
      </c>
      <c r="P143" s="61" t="s">
        <v>171</v>
      </c>
      <c r="Q143" s="14"/>
      <c r="S143" s="84"/>
      <c r="T143" s="136"/>
      <c r="U143" s="137"/>
      <c r="W143" s="32"/>
      <c r="X143" s="62" t="s">
        <v>43</v>
      </c>
      <c r="Y143" s="61" t="s">
        <v>172</v>
      </c>
      <c r="Z143" s="14"/>
    </row>
    <row r="144" spans="1:26" ht="15" thickBot="1" x14ac:dyDescent="0.35">
      <c r="A144" s="84"/>
      <c r="B144" s="138"/>
      <c r="C144" s="139"/>
      <c r="H144" s="14"/>
      <c r="J144" s="84"/>
      <c r="K144" s="138"/>
      <c r="L144" s="139"/>
      <c r="Q144" s="14"/>
      <c r="S144" s="84"/>
      <c r="T144" s="138"/>
      <c r="U144" s="139"/>
      <c r="Z144" s="14"/>
    </row>
    <row r="145" spans="1:26" x14ac:dyDescent="0.3">
      <c r="A145" s="84"/>
      <c r="B145" s="13"/>
      <c r="H145" s="14"/>
      <c r="J145" s="84"/>
      <c r="K145" s="13"/>
      <c r="Q145" s="14"/>
      <c r="S145" s="84"/>
      <c r="T145" s="13"/>
      <c r="Z145" s="14"/>
    </row>
    <row r="146" spans="1:26" x14ac:dyDescent="0.3">
      <c r="A146" s="84"/>
      <c r="B146" s="13"/>
      <c r="C146" s="63" t="s">
        <v>109</v>
      </c>
      <c r="H146" s="14"/>
      <c r="J146" s="84"/>
      <c r="K146" s="13"/>
      <c r="L146" s="63" t="s">
        <v>109</v>
      </c>
      <c r="Q146" s="14"/>
      <c r="S146" s="84"/>
      <c r="T146" s="13"/>
      <c r="U146" s="63" t="s">
        <v>109</v>
      </c>
      <c r="Z146" s="14"/>
    </row>
    <row r="147" spans="1:26" x14ac:dyDescent="0.3">
      <c r="A147" s="84"/>
      <c r="B147" s="13"/>
      <c r="H147" s="14"/>
      <c r="J147" s="84"/>
      <c r="K147" s="13"/>
      <c r="Q147" s="14"/>
      <c r="S147" s="84"/>
      <c r="T147" s="13"/>
      <c r="Z147" s="14"/>
    </row>
    <row r="148" spans="1:26" ht="15.6" x14ac:dyDescent="0.3">
      <c r="A148" s="84"/>
      <c r="B148" s="13"/>
      <c r="C148" s="9" t="s">
        <v>44</v>
      </c>
      <c r="D148" s="32"/>
      <c r="E148" s="32"/>
      <c r="G148" s="65">
        <f>G123</f>
        <v>329800</v>
      </c>
      <c r="H148" s="14"/>
      <c r="J148" s="84"/>
      <c r="K148" s="13"/>
      <c r="L148" s="9" t="s">
        <v>44</v>
      </c>
      <c r="M148" s="32"/>
      <c r="N148" s="32"/>
      <c r="P148" s="65">
        <f>G123</f>
        <v>329800</v>
      </c>
      <c r="Q148" s="14"/>
      <c r="S148" s="84"/>
      <c r="T148" s="13"/>
      <c r="U148" s="9" t="s">
        <v>44</v>
      </c>
      <c r="V148" s="32"/>
      <c r="W148" s="32"/>
      <c r="Y148" s="65">
        <f>G123</f>
        <v>329800</v>
      </c>
      <c r="Z148" s="14"/>
    </row>
    <row r="149" spans="1:26" x14ac:dyDescent="0.3">
      <c r="A149" s="84"/>
      <c r="B149" s="13"/>
      <c r="H149" s="14"/>
      <c r="J149" s="84"/>
      <c r="K149" s="13"/>
      <c r="Q149" s="14"/>
      <c r="S149" s="84"/>
      <c r="T149" s="13"/>
      <c r="Z149" s="14"/>
    </row>
    <row r="150" spans="1:26" x14ac:dyDescent="0.3">
      <c r="A150" s="84"/>
      <c r="B150" s="13"/>
      <c r="C150" s="3" t="s">
        <v>115</v>
      </c>
      <c r="G150" s="66">
        <f>G122</f>
        <v>30</v>
      </c>
      <c r="H150" s="14"/>
      <c r="J150" s="84"/>
      <c r="K150" s="13"/>
      <c r="L150" s="3" t="s">
        <v>115</v>
      </c>
      <c r="P150" s="66">
        <f>G122</f>
        <v>30</v>
      </c>
      <c r="Q150" s="14"/>
      <c r="S150" s="84"/>
      <c r="T150" s="13"/>
      <c r="U150" s="3" t="s">
        <v>115</v>
      </c>
      <c r="Y150" s="66">
        <f>G122</f>
        <v>30</v>
      </c>
      <c r="Z150" s="14"/>
    </row>
    <row r="151" spans="1:26" x14ac:dyDescent="0.3">
      <c r="A151" s="84"/>
      <c r="B151" s="13"/>
      <c r="C151" s="3"/>
      <c r="H151" s="14"/>
      <c r="J151" s="84"/>
      <c r="K151" s="13"/>
      <c r="L151" s="3"/>
      <c r="Q151" s="14"/>
      <c r="S151" s="84"/>
      <c r="T151" s="13"/>
      <c r="U151" s="3"/>
      <c r="Z151" s="14"/>
    </row>
    <row r="152" spans="1:26" x14ac:dyDescent="0.3">
      <c r="A152" s="84"/>
      <c r="B152" s="13"/>
      <c r="C152" s="3" t="s">
        <v>108</v>
      </c>
      <c r="G152" s="66">
        <f>G121</f>
        <v>75</v>
      </c>
      <c r="H152" s="14"/>
      <c r="J152" s="84"/>
      <c r="K152" s="13"/>
      <c r="L152" s="3" t="s">
        <v>108</v>
      </c>
      <c r="P152" s="66">
        <f>G121</f>
        <v>75</v>
      </c>
      <c r="Q152" s="14"/>
      <c r="S152" s="84"/>
      <c r="T152" s="13"/>
      <c r="U152" s="3" t="s">
        <v>108</v>
      </c>
      <c r="Y152" s="66">
        <f>G121</f>
        <v>75</v>
      </c>
      <c r="Z152" s="14"/>
    </row>
    <row r="153" spans="1:26" x14ac:dyDescent="0.3">
      <c r="A153" s="84"/>
      <c r="B153" s="13"/>
      <c r="H153" s="14"/>
      <c r="J153" s="84"/>
      <c r="K153" s="13"/>
      <c r="Q153" s="14"/>
      <c r="S153" s="84"/>
      <c r="T153" s="13"/>
      <c r="Z153" s="14"/>
    </row>
    <row r="154" spans="1:26" x14ac:dyDescent="0.3">
      <c r="A154" s="84"/>
      <c r="B154" s="13"/>
      <c r="C154" s="3" t="s">
        <v>110</v>
      </c>
      <c r="G154" s="64" t="str">
        <f>G119</f>
        <v>Residencia Principal</v>
      </c>
      <c r="H154" s="14"/>
      <c r="J154" s="84"/>
      <c r="K154" s="13"/>
      <c r="L154" s="3" t="s">
        <v>110</v>
      </c>
      <c r="P154" s="64" t="str">
        <f>G119</f>
        <v>Residencia Principal</v>
      </c>
      <c r="Q154" s="14"/>
      <c r="S154" s="84"/>
      <c r="T154" s="13"/>
      <c r="U154" s="3" t="s">
        <v>110</v>
      </c>
      <c r="Y154" s="64" t="str">
        <f>G119</f>
        <v>Residencia Principal</v>
      </c>
      <c r="Z154" s="14"/>
    </row>
    <row r="155" spans="1:26" x14ac:dyDescent="0.3">
      <c r="A155" s="84"/>
      <c r="B155" s="13"/>
      <c r="C155" s="3"/>
      <c r="H155" s="14"/>
      <c r="J155" s="84"/>
      <c r="K155" s="13"/>
      <c r="L155" s="3"/>
      <c r="Q155" s="14"/>
      <c r="S155" s="84"/>
      <c r="T155" s="13"/>
      <c r="U155" s="3"/>
      <c r="Z155" s="14"/>
    </row>
    <row r="156" spans="1:26" ht="14.4" customHeight="1" x14ac:dyDescent="0.3">
      <c r="A156" s="84"/>
      <c r="B156" s="13"/>
      <c r="C156" s="3" t="s">
        <v>111</v>
      </c>
      <c r="G156" s="64" t="str">
        <f>G120</f>
        <v>SAN JUAN</v>
      </c>
      <c r="H156" s="14"/>
      <c r="J156" s="84"/>
      <c r="K156" s="13"/>
      <c r="L156" s="3" t="s">
        <v>111</v>
      </c>
      <c r="P156" s="64" t="str">
        <f>G120</f>
        <v>SAN JUAN</v>
      </c>
      <c r="Q156" s="14"/>
      <c r="S156" s="84"/>
      <c r="T156" s="13"/>
      <c r="U156" s="3" t="s">
        <v>111</v>
      </c>
      <c r="Y156" s="64" t="str">
        <f>G120</f>
        <v>SAN JUAN</v>
      </c>
      <c r="Z156" s="14"/>
    </row>
    <row r="157" spans="1:26" ht="15.6" customHeight="1" x14ac:dyDescent="0.3">
      <c r="A157" s="84"/>
      <c r="B157" s="13"/>
      <c r="C157" s="3"/>
      <c r="H157" s="14"/>
      <c r="J157" s="84"/>
      <c r="K157" s="13"/>
      <c r="L157" s="3"/>
      <c r="Q157" s="14"/>
      <c r="S157" s="84"/>
      <c r="T157" s="13"/>
      <c r="U157" s="3"/>
      <c r="Z157" s="14"/>
    </row>
    <row r="158" spans="1:26" ht="15" customHeight="1" x14ac:dyDescent="0.3">
      <c r="A158" s="84"/>
      <c r="B158" s="13"/>
      <c r="C158" s="3" t="s">
        <v>113</v>
      </c>
      <c r="G158" s="64">
        <v>1</v>
      </c>
      <c r="H158" s="14"/>
      <c r="J158" s="84"/>
      <c r="K158" s="13"/>
      <c r="L158" s="3" t="s">
        <v>113</v>
      </c>
      <c r="P158" s="64">
        <v>1</v>
      </c>
      <c r="Q158" s="14"/>
      <c r="S158" s="84"/>
      <c r="T158" s="13"/>
      <c r="U158" s="3" t="s">
        <v>113</v>
      </c>
      <c r="Y158" s="64">
        <v>1</v>
      </c>
      <c r="Z158" s="14"/>
    </row>
    <row r="159" spans="1:26" x14ac:dyDescent="0.3">
      <c r="A159" s="84"/>
      <c r="B159" s="13"/>
      <c r="H159" s="14"/>
      <c r="J159" s="84"/>
      <c r="K159" s="13"/>
      <c r="Q159" s="14"/>
      <c r="S159" s="84"/>
      <c r="T159" s="13"/>
      <c r="Z159" s="14"/>
    </row>
    <row r="160" spans="1:26" x14ac:dyDescent="0.3">
      <c r="A160" s="84"/>
      <c r="B160" s="13"/>
      <c r="C160" s="63" t="s">
        <v>114</v>
      </c>
      <c r="H160" s="14"/>
      <c r="J160" s="84"/>
      <c r="K160" s="13"/>
      <c r="L160" s="63" t="s">
        <v>114</v>
      </c>
      <c r="Q160" s="14"/>
      <c r="S160" s="84"/>
      <c r="T160" s="13"/>
      <c r="U160" s="63" t="s">
        <v>114</v>
      </c>
      <c r="Z160" s="14"/>
    </row>
    <row r="161" spans="1:26" x14ac:dyDescent="0.3">
      <c r="A161" s="84"/>
      <c r="B161" s="13"/>
      <c r="H161" s="14"/>
      <c r="J161" s="84"/>
      <c r="K161" s="13"/>
      <c r="Q161" s="14"/>
      <c r="S161" s="84"/>
      <c r="T161" s="13"/>
      <c r="Z161" s="14"/>
    </row>
    <row r="162" spans="1:26" x14ac:dyDescent="0.3">
      <c r="A162" s="84"/>
      <c r="B162" s="13"/>
      <c r="C162" s="3" t="s">
        <v>116</v>
      </c>
      <c r="G162" s="66">
        <f>SUM(G124,G125)</f>
        <v>10000</v>
      </c>
      <c r="H162" s="14"/>
      <c r="J162" s="84"/>
      <c r="K162" s="13"/>
      <c r="L162" s="3" t="s">
        <v>116</v>
      </c>
      <c r="P162" s="66">
        <f>SUM(G124,G125)</f>
        <v>10000</v>
      </c>
      <c r="Q162" s="14"/>
      <c r="S162" s="84"/>
      <c r="T162" s="13"/>
      <c r="U162" s="3" t="s">
        <v>116</v>
      </c>
      <c r="Y162" s="66">
        <f>SUM(G124,G125)</f>
        <v>10000</v>
      </c>
      <c r="Z162" s="14"/>
    </row>
    <row r="163" spans="1:26" x14ac:dyDescent="0.3">
      <c r="A163" s="84"/>
      <c r="B163" s="13"/>
      <c r="C163" s="67" t="s">
        <v>117</v>
      </c>
      <c r="H163" s="14"/>
      <c r="J163" s="84"/>
      <c r="K163" s="13"/>
      <c r="L163" s="67" t="s">
        <v>117</v>
      </c>
      <c r="Q163" s="14"/>
      <c r="S163" s="84"/>
      <c r="T163" s="13"/>
      <c r="U163" s="67" t="s">
        <v>117</v>
      </c>
      <c r="Z163" s="14"/>
    </row>
    <row r="164" spans="1:26" x14ac:dyDescent="0.3">
      <c r="A164" s="84"/>
      <c r="B164" s="13"/>
      <c r="H164" s="14"/>
      <c r="J164" s="84"/>
      <c r="K164" s="13"/>
      <c r="Q164" s="14"/>
      <c r="S164" s="84"/>
      <c r="T164" s="13"/>
      <c r="Z164" s="14"/>
    </row>
    <row r="165" spans="1:26" x14ac:dyDescent="0.3">
      <c r="A165" s="84"/>
      <c r="B165" s="13"/>
      <c r="C165" s="3" t="s">
        <v>118</v>
      </c>
      <c r="G165" s="66">
        <f>SUM(G126:G129)</f>
        <v>1300</v>
      </c>
      <c r="H165" s="14"/>
      <c r="J165" s="84"/>
      <c r="K165" s="13"/>
      <c r="L165" s="3" t="s">
        <v>118</v>
      </c>
      <c r="P165" s="66">
        <f>SUM(G126:G129)</f>
        <v>1300</v>
      </c>
      <c r="Q165" s="14"/>
      <c r="S165" s="84"/>
      <c r="T165" s="13"/>
      <c r="U165" s="3" t="s">
        <v>118</v>
      </c>
      <c r="Y165" s="66">
        <f>SUM(G126:G129)</f>
        <v>1300</v>
      </c>
      <c r="Z165" s="14"/>
    </row>
    <row r="166" spans="1:26" x14ac:dyDescent="0.3">
      <c r="A166" s="84"/>
      <c r="B166" s="13"/>
      <c r="C166" s="74" t="s">
        <v>119</v>
      </c>
      <c r="H166" s="14"/>
      <c r="J166" s="84"/>
      <c r="K166" s="13"/>
      <c r="L166" s="74" t="s">
        <v>119</v>
      </c>
      <c r="Q166" s="14"/>
      <c r="S166" s="84"/>
      <c r="T166" s="13"/>
      <c r="U166" s="74" t="s">
        <v>119</v>
      </c>
      <c r="Z166" s="14"/>
    </row>
    <row r="167" spans="1:26" x14ac:dyDescent="0.3">
      <c r="A167" s="84"/>
      <c r="B167" s="13"/>
      <c r="C167" s="67" t="s">
        <v>120</v>
      </c>
      <c r="H167" s="14"/>
      <c r="J167" s="84"/>
      <c r="K167" s="13"/>
      <c r="L167" s="67" t="s">
        <v>120</v>
      </c>
      <c r="Q167" s="14"/>
      <c r="S167" s="84"/>
      <c r="T167" s="13"/>
      <c r="U167" s="67" t="s">
        <v>120</v>
      </c>
      <c r="Z167" s="14"/>
    </row>
    <row r="168" spans="1:26" x14ac:dyDescent="0.3">
      <c r="A168" s="84"/>
      <c r="B168" s="13"/>
      <c r="H168" s="14"/>
      <c r="J168" s="84"/>
      <c r="K168" s="13"/>
      <c r="Q168" s="14"/>
      <c r="S168" s="84"/>
      <c r="T168" s="13"/>
      <c r="Z168" s="14"/>
    </row>
    <row r="169" spans="1:26" x14ac:dyDescent="0.3">
      <c r="A169" s="84"/>
      <c r="B169" s="13"/>
      <c r="H169" s="14"/>
      <c r="J169" s="84"/>
      <c r="K169" s="13"/>
      <c r="Q169" s="14"/>
      <c r="S169" s="84"/>
      <c r="T169" s="13"/>
      <c r="Z169" s="14"/>
    </row>
    <row r="170" spans="1:26" x14ac:dyDescent="0.3">
      <c r="A170" s="84"/>
      <c r="B170" s="13"/>
      <c r="C170" s="63" t="s">
        <v>121</v>
      </c>
      <c r="H170" s="14"/>
      <c r="J170" s="84"/>
      <c r="K170" s="13"/>
      <c r="L170" s="63" t="s">
        <v>121</v>
      </c>
      <c r="Q170" s="14"/>
      <c r="S170" s="84"/>
      <c r="T170" s="13"/>
      <c r="U170" s="63" t="s">
        <v>121</v>
      </c>
      <c r="Z170" s="14"/>
    </row>
    <row r="171" spans="1:26" x14ac:dyDescent="0.3">
      <c r="A171" s="84"/>
      <c r="B171" s="13"/>
      <c r="H171" s="14"/>
      <c r="J171" s="84"/>
      <c r="K171" s="13"/>
      <c r="Q171" s="14"/>
      <c r="S171" s="84"/>
      <c r="T171" s="13"/>
      <c r="Z171" s="14"/>
    </row>
    <row r="172" spans="1:26" x14ac:dyDescent="0.3">
      <c r="A172" s="84"/>
      <c r="B172" s="13"/>
      <c r="C172" s="73" t="s">
        <v>122</v>
      </c>
      <c r="G172" s="69" t="str">
        <f>G264</f>
        <v>Prequalified</v>
      </c>
      <c r="H172" s="14"/>
      <c r="J172" s="84"/>
      <c r="K172" s="13"/>
      <c r="L172" s="73" t="s">
        <v>122</v>
      </c>
      <c r="P172" s="69" t="str">
        <f>P264</f>
        <v>Prequalified</v>
      </c>
      <c r="Q172" s="14"/>
      <c r="S172" s="84"/>
      <c r="T172" s="13"/>
      <c r="U172" s="73" t="s">
        <v>122</v>
      </c>
      <c r="Y172" s="69" t="str">
        <f>Y264</f>
        <v>Prequalified</v>
      </c>
      <c r="Z172" s="14"/>
    </row>
    <row r="173" spans="1:26" x14ac:dyDescent="0.3">
      <c r="A173" s="84"/>
      <c r="B173" s="13"/>
      <c r="H173" s="14"/>
      <c r="J173" s="84"/>
      <c r="K173" s="13"/>
      <c r="Q173" s="14"/>
      <c r="S173" s="84"/>
      <c r="T173" s="13"/>
      <c r="Z173" s="14"/>
    </row>
    <row r="174" spans="1:26" x14ac:dyDescent="0.3">
      <c r="A174" s="84"/>
      <c r="B174" s="13"/>
      <c r="C174" s="3" t="s">
        <v>123</v>
      </c>
      <c r="H174" s="14"/>
      <c r="J174" s="84"/>
      <c r="K174" s="13"/>
      <c r="L174" s="3" t="s">
        <v>123</v>
      </c>
      <c r="Q174" s="14"/>
      <c r="S174" s="84"/>
      <c r="T174" s="13"/>
      <c r="U174" s="3" t="s">
        <v>123</v>
      </c>
      <c r="Z174" s="14"/>
    </row>
    <row r="175" spans="1:26" x14ac:dyDescent="0.3">
      <c r="A175" s="84"/>
      <c r="B175" s="13"/>
      <c r="H175" s="14"/>
      <c r="J175" s="84"/>
      <c r="K175" s="13"/>
      <c r="Q175" s="14"/>
      <c r="S175" s="84"/>
      <c r="T175" s="13"/>
      <c r="Z175" s="14"/>
    </row>
    <row r="176" spans="1:26" x14ac:dyDescent="0.3">
      <c r="A176" s="84"/>
      <c r="B176" s="13"/>
      <c r="C176" s="68" t="s">
        <v>129</v>
      </c>
      <c r="G176" s="93">
        <f>IF(G172="Prequalified", G204,"N/A")</f>
        <v>336890.7</v>
      </c>
      <c r="H176" s="14"/>
      <c r="J176" s="84"/>
      <c r="K176" s="13"/>
      <c r="L176" s="68" t="s">
        <v>129</v>
      </c>
      <c r="P176" s="93">
        <f>IF(P172="Prequalified", P209,"N/A")</f>
        <v>323826.4975</v>
      </c>
      <c r="Q176" s="14"/>
      <c r="S176" s="84"/>
      <c r="T176" s="13"/>
      <c r="U176" s="68" t="s">
        <v>129</v>
      </c>
      <c r="Y176" s="93">
        <f>IF(Y172="Prequalified", Y201,"N/A")</f>
        <v>263840</v>
      </c>
      <c r="Z176" s="14"/>
    </row>
    <row r="177" spans="1:26" x14ac:dyDescent="0.3">
      <c r="A177" s="84"/>
      <c r="B177" s="13"/>
      <c r="C177" s="68"/>
      <c r="H177" s="14"/>
      <c r="J177" s="84"/>
      <c r="K177" s="13"/>
      <c r="L177" s="68"/>
      <c r="Q177" s="14"/>
      <c r="S177" s="84"/>
      <c r="T177" s="13"/>
      <c r="U177" s="68"/>
      <c r="Z177" s="14"/>
    </row>
    <row r="178" spans="1:26" x14ac:dyDescent="0.3">
      <c r="A178" s="84"/>
      <c r="B178" s="13"/>
      <c r="C178" s="68" t="s">
        <v>128</v>
      </c>
      <c r="G178" s="64" t="s">
        <v>7</v>
      </c>
      <c r="H178" s="14"/>
      <c r="J178" s="84"/>
      <c r="K178" s="13"/>
      <c r="L178" s="68" t="s">
        <v>128</v>
      </c>
      <c r="P178" s="93">
        <f>IF(P172="Prequalified", P148-P176,"N/A")</f>
        <v>5973.5025000000023</v>
      </c>
      <c r="Q178" s="14"/>
      <c r="S178" s="84"/>
      <c r="T178" s="13"/>
      <c r="U178" s="68" t="s">
        <v>128</v>
      </c>
      <c r="Y178" s="93">
        <f>IF(Y172="Prequalified", Y148-Y176,"N/A")</f>
        <v>65960</v>
      </c>
      <c r="Z178" s="14"/>
    </row>
    <row r="179" spans="1:26" ht="15.6" x14ac:dyDescent="0.3">
      <c r="A179" s="85"/>
      <c r="B179" s="13"/>
      <c r="C179" s="68"/>
      <c r="H179" s="14"/>
      <c r="J179" s="85"/>
      <c r="K179" s="13"/>
      <c r="L179" s="68"/>
      <c r="Q179" s="14"/>
      <c r="S179" s="85"/>
      <c r="T179" s="13"/>
      <c r="U179" s="68"/>
      <c r="Z179" s="14"/>
    </row>
    <row r="180" spans="1:26" x14ac:dyDescent="0.3">
      <c r="A180" s="84"/>
      <c r="B180" s="13"/>
      <c r="C180" s="68" t="s">
        <v>127</v>
      </c>
      <c r="G180" s="110">
        <f>IF(G172="Prequalified", M122,"N/A")</f>
        <v>4.4999999999999998E-2</v>
      </c>
      <c r="H180" s="14"/>
      <c r="J180" s="84"/>
      <c r="K180" s="13"/>
      <c r="L180" s="68" t="s">
        <v>127</v>
      </c>
      <c r="P180" s="94">
        <f>IF(P172="Prequalified", M121,"N/A")</f>
        <v>6.5000000000000002E-2</v>
      </c>
      <c r="Q180" s="14"/>
      <c r="S180" s="84"/>
      <c r="T180" s="13"/>
      <c r="U180" s="68" t="s">
        <v>127</v>
      </c>
      <c r="Y180" s="94">
        <f>IF(Y172="Prequalified", M123,"N/A")</f>
        <v>7.0000000000000007E-2</v>
      </c>
      <c r="Z180" s="14"/>
    </row>
    <row r="181" spans="1:26" x14ac:dyDescent="0.3">
      <c r="A181" s="84"/>
      <c r="B181" s="13"/>
      <c r="C181" s="68"/>
      <c r="H181" s="14"/>
      <c r="J181" s="84"/>
      <c r="K181" s="13"/>
      <c r="L181" s="68"/>
      <c r="Q181" s="14"/>
      <c r="S181" s="84"/>
      <c r="T181" s="13"/>
      <c r="U181" s="68"/>
      <c r="Z181" s="14"/>
    </row>
    <row r="182" spans="1:26" x14ac:dyDescent="0.3">
      <c r="A182" s="84"/>
      <c r="B182" s="13"/>
      <c r="C182" s="68" t="s">
        <v>126</v>
      </c>
      <c r="G182" s="93">
        <f>IF(G172="Prequalified", G207,"N/A")</f>
        <v>1706.9756870695783</v>
      </c>
      <c r="H182" s="14"/>
      <c r="J182" s="84"/>
      <c r="K182" s="13"/>
      <c r="L182" s="68" t="s">
        <v>126</v>
      </c>
      <c r="P182" s="93">
        <f>IF(P172="Prequalified", P217,"N/A")</f>
        <v>2046.8037422947416</v>
      </c>
      <c r="Q182" s="14"/>
      <c r="S182" s="84"/>
      <c r="T182" s="13"/>
      <c r="U182" s="68" t="s">
        <v>126</v>
      </c>
      <c r="Y182" s="93">
        <f>IF(Y172="Prequalified", Y209,"N/A")</f>
        <v>1755.3341032807571</v>
      </c>
      <c r="Z182" s="14"/>
    </row>
    <row r="183" spans="1:26" x14ac:dyDescent="0.3">
      <c r="A183" s="84"/>
      <c r="B183" s="13"/>
      <c r="C183" s="68"/>
      <c r="H183" s="14"/>
      <c r="J183" s="84"/>
      <c r="K183" s="13"/>
      <c r="L183" s="68"/>
      <c r="Q183" s="14"/>
      <c r="S183" s="84"/>
      <c r="T183" s="13"/>
      <c r="U183" s="68"/>
      <c r="Z183" s="14"/>
    </row>
    <row r="184" spans="1:26" x14ac:dyDescent="0.3">
      <c r="A184" s="84"/>
      <c r="B184" s="13"/>
      <c r="C184" s="68" t="s">
        <v>125</v>
      </c>
      <c r="G184" s="93">
        <f>IF(G172="Prequalified", G218,"N/A")</f>
        <v>1902.6706870695782</v>
      </c>
      <c r="H184" s="14"/>
      <c r="J184" s="84"/>
      <c r="K184" s="13"/>
      <c r="L184" s="68" t="s">
        <v>125</v>
      </c>
      <c r="P184" s="93">
        <f>IF(P172="Prequalified", P231,"N/A")</f>
        <v>2387.6287422947416</v>
      </c>
      <c r="Q184" s="14"/>
      <c r="S184" s="84"/>
      <c r="T184" s="13"/>
      <c r="U184" s="68" t="s">
        <v>125</v>
      </c>
      <c r="Y184" s="93">
        <f>IF(Y172="Prequalified", Y220,"N/A")</f>
        <v>1951.029103280757</v>
      </c>
      <c r="Z184" s="14"/>
    </row>
    <row r="185" spans="1:26" x14ac:dyDescent="0.3">
      <c r="A185" s="84"/>
      <c r="B185" s="13"/>
      <c r="C185" s="68"/>
      <c r="H185" s="14"/>
      <c r="J185" s="84"/>
      <c r="K185" s="13"/>
      <c r="L185" s="68"/>
      <c r="Q185" s="14"/>
      <c r="S185" s="84"/>
      <c r="T185" s="13"/>
      <c r="U185" s="68"/>
      <c r="Z185" s="14"/>
    </row>
    <row r="186" spans="1:26" x14ac:dyDescent="0.3">
      <c r="A186" s="84"/>
      <c r="B186" s="13"/>
      <c r="C186" s="68" t="s">
        <v>124</v>
      </c>
      <c r="G186" s="64">
        <f>IF(G172="Prequalified", L125,"N/A")</f>
        <v>360</v>
      </c>
      <c r="H186" s="14"/>
      <c r="J186" s="84"/>
      <c r="K186" s="13"/>
      <c r="L186" s="68" t="s">
        <v>124</v>
      </c>
      <c r="P186" s="64">
        <f>IF(P172="Prequalified", L125,"N/A")</f>
        <v>360</v>
      </c>
      <c r="Q186" s="14"/>
      <c r="S186" s="84"/>
      <c r="T186" s="13"/>
      <c r="U186" s="68" t="s">
        <v>124</v>
      </c>
      <c r="Y186" s="64">
        <f>IF(Y172="Prequalified", L125,"N/A")</f>
        <v>360</v>
      </c>
      <c r="Z186" s="14"/>
    </row>
    <row r="187" spans="1:26" x14ac:dyDescent="0.3">
      <c r="A187" s="84"/>
      <c r="B187" s="13"/>
      <c r="H187" s="14"/>
      <c r="J187" s="84"/>
      <c r="K187" s="13"/>
      <c r="Q187" s="14"/>
      <c r="S187" s="84"/>
      <c r="T187" s="13"/>
      <c r="Z187" s="14"/>
    </row>
    <row r="188" spans="1:26" x14ac:dyDescent="0.3">
      <c r="A188" s="84"/>
      <c r="B188" s="13"/>
      <c r="H188" s="14"/>
      <c r="J188" s="84"/>
      <c r="K188" s="13"/>
      <c r="Q188" s="14"/>
      <c r="S188" s="84"/>
      <c r="T188" s="13"/>
      <c r="Z188" s="14"/>
    </row>
    <row r="189" spans="1:26" ht="15" thickBot="1" x14ac:dyDescent="0.35">
      <c r="A189" s="84"/>
      <c r="B189" s="15"/>
      <c r="C189" s="16"/>
      <c r="D189" s="16"/>
      <c r="E189" s="16"/>
      <c r="F189" s="16"/>
      <c r="G189" s="16"/>
      <c r="H189" s="17"/>
      <c r="J189" s="84"/>
      <c r="K189" s="15"/>
      <c r="L189" s="16"/>
      <c r="M189" s="16"/>
      <c r="N189" s="16"/>
      <c r="O189" s="16"/>
      <c r="P189" s="16"/>
      <c r="Q189" s="17"/>
      <c r="S189" s="84"/>
      <c r="T189" s="15"/>
      <c r="U189" s="16"/>
      <c r="V189" s="16"/>
      <c r="W189" s="16"/>
      <c r="X189" s="16"/>
      <c r="Y189" s="16"/>
      <c r="Z189" s="17"/>
    </row>
    <row r="190" spans="1:26" ht="15" thickBot="1" x14ac:dyDescent="0.35">
      <c r="A190" s="84"/>
      <c r="B190" s="83"/>
      <c r="C190" s="83"/>
      <c r="D190" s="83"/>
      <c r="E190" s="83"/>
      <c r="F190" s="83"/>
      <c r="G190" s="83"/>
      <c r="H190" s="103"/>
      <c r="J190" s="84"/>
      <c r="K190" s="83"/>
      <c r="L190" s="83"/>
      <c r="M190" s="83"/>
      <c r="N190" s="83"/>
      <c r="O190" s="83"/>
      <c r="P190" s="83"/>
      <c r="Q190" s="103"/>
      <c r="S190" s="84"/>
      <c r="T190" s="83"/>
      <c r="U190" s="83"/>
      <c r="V190" s="83"/>
      <c r="W190" s="83"/>
      <c r="X190" s="83"/>
      <c r="Y190" s="83"/>
      <c r="Z190" s="103"/>
    </row>
    <row r="191" spans="1:26" ht="15" thickTop="1" x14ac:dyDescent="0.3">
      <c r="A191" s="84"/>
      <c r="H191" s="51"/>
      <c r="J191" s="84"/>
      <c r="Q191" s="51"/>
      <c r="S191" s="84"/>
      <c r="Z191" s="108"/>
    </row>
    <row r="192" spans="1:26" ht="18" x14ac:dyDescent="0.3">
      <c r="A192" s="84"/>
      <c r="B192" s="55" t="s">
        <v>130</v>
      </c>
      <c r="H192" s="51"/>
      <c r="J192" s="84"/>
      <c r="K192" s="55" t="s">
        <v>130</v>
      </c>
      <c r="Q192" s="51"/>
      <c r="S192" s="84"/>
      <c r="T192" s="55" t="s">
        <v>130</v>
      </c>
      <c r="Z192" s="51"/>
    </row>
    <row r="193" spans="1:26" x14ac:dyDescent="0.3">
      <c r="A193" s="84"/>
      <c r="H193" s="51"/>
      <c r="J193" s="84"/>
      <c r="Q193" s="51"/>
      <c r="S193" s="84"/>
      <c r="Z193" s="51"/>
    </row>
    <row r="194" spans="1:26" ht="15.6" x14ac:dyDescent="0.3">
      <c r="A194" s="84"/>
      <c r="C194" s="72" t="s">
        <v>147</v>
      </c>
      <c r="H194" s="51"/>
      <c r="J194" s="84"/>
      <c r="L194" s="72" t="s">
        <v>147</v>
      </c>
      <c r="Q194" s="51"/>
      <c r="S194" s="84"/>
      <c r="U194" s="72" t="s">
        <v>147</v>
      </c>
      <c r="Z194" s="51"/>
    </row>
    <row r="195" spans="1:26" x14ac:dyDescent="0.3">
      <c r="A195" s="84"/>
      <c r="H195" s="51"/>
      <c r="J195" s="84"/>
      <c r="Q195" s="51"/>
      <c r="S195" s="84"/>
      <c r="Z195" s="51"/>
    </row>
    <row r="196" spans="1:26" x14ac:dyDescent="0.3">
      <c r="A196" s="84"/>
      <c r="C196" s="73" t="s">
        <v>131</v>
      </c>
      <c r="G196" s="69">
        <f>G148*L131</f>
        <v>329800</v>
      </c>
      <c r="H196" s="51"/>
      <c r="J196" s="84"/>
      <c r="L196" s="73" t="s">
        <v>131</v>
      </c>
      <c r="P196" s="69">
        <f>P148*L130</f>
        <v>318257</v>
      </c>
      <c r="Q196" s="51"/>
      <c r="S196" s="84"/>
      <c r="U196" s="73" t="s">
        <v>131</v>
      </c>
      <c r="Y196" s="69">
        <f>Y148*L132</f>
        <v>263840</v>
      </c>
      <c r="Z196" s="51"/>
    </row>
    <row r="197" spans="1:26" x14ac:dyDescent="0.3">
      <c r="A197" s="84"/>
      <c r="C197" s="74" t="s">
        <v>132</v>
      </c>
      <c r="H197" s="51"/>
      <c r="J197" s="84"/>
      <c r="L197" s="74" t="s">
        <v>132</v>
      </c>
      <c r="Q197" s="51"/>
      <c r="S197" s="84"/>
      <c r="U197" s="74" t="s">
        <v>132</v>
      </c>
      <c r="Z197" s="51"/>
    </row>
    <row r="198" spans="1:26" x14ac:dyDescent="0.3">
      <c r="A198" s="84"/>
      <c r="H198" s="51"/>
      <c r="J198" s="84"/>
      <c r="Q198" s="51"/>
      <c r="S198" s="84"/>
      <c r="Z198" s="51"/>
    </row>
    <row r="199" spans="1:26" x14ac:dyDescent="0.3">
      <c r="A199" s="84"/>
      <c r="C199" s="73" t="s">
        <v>187</v>
      </c>
      <c r="G199" s="69" t="s">
        <v>7</v>
      </c>
      <c r="H199" s="51"/>
      <c r="J199" s="84"/>
      <c r="L199" s="73" t="s">
        <v>187</v>
      </c>
      <c r="P199" s="69">
        <f>V130</f>
        <v>498257</v>
      </c>
      <c r="Q199" s="51"/>
      <c r="S199" s="84"/>
      <c r="U199" s="73" t="s">
        <v>187</v>
      </c>
      <c r="Y199" s="69">
        <f>V131</f>
        <v>766550</v>
      </c>
      <c r="Z199" s="51"/>
    </row>
    <row r="200" spans="1:26" x14ac:dyDescent="0.3">
      <c r="A200" s="84"/>
      <c r="H200" s="51"/>
      <c r="J200" s="84"/>
      <c r="Q200" s="51"/>
      <c r="S200" s="84"/>
      <c r="U200" s="74"/>
      <c r="Z200" s="51"/>
    </row>
    <row r="201" spans="1:26" x14ac:dyDescent="0.3">
      <c r="A201" s="84"/>
      <c r="C201" s="3" t="s">
        <v>136</v>
      </c>
      <c r="G201" s="69">
        <f>G196*V125</f>
        <v>7090.7</v>
      </c>
      <c r="H201" s="51"/>
      <c r="J201" s="84"/>
      <c r="L201" s="73" t="s">
        <v>174</v>
      </c>
      <c r="P201" s="69">
        <f>IF(P196&gt;P199,P199*R118,P196*R118)</f>
        <v>5569.4975000000004</v>
      </c>
      <c r="Q201" s="51"/>
      <c r="S201" s="84"/>
      <c r="U201" s="73" t="s">
        <v>133</v>
      </c>
      <c r="Y201" s="69">
        <f>IF(Y196&gt;Y199,Y199,Y196)</f>
        <v>263840</v>
      </c>
      <c r="Z201" s="51"/>
    </row>
    <row r="202" spans="1:26" x14ac:dyDescent="0.3">
      <c r="A202" s="84"/>
      <c r="C202" s="74" t="s">
        <v>137</v>
      </c>
      <c r="H202" s="51"/>
      <c r="J202" s="84"/>
      <c r="L202" s="74" t="s">
        <v>184</v>
      </c>
      <c r="Q202" s="51"/>
      <c r="S202" s="84"/>
      <c r="U202" s="74" t="s">
        <v>184</v>
      </c>
      <c r="Z202" s="51"/>
    </row>
    <row r="203" spans="1:26" x14ac:dyDescent="0.3">
      <c r="A203" s="84"/>
      <c r="H203" s="51"/>
      <c r="J203" s="84"/>
      <c r="L203" s="67" t="s">
        <v>157</v>
      </c>
      <c r="Q203" s="51"/>
      <c r="S203" s="84"/>
      <c r="U203" s="74" t="s">
        <v>157</v>
      </c>
      <c r="Z203" s="51"/>
    </row>
    <row r="204" spans="1:26" x14ac:dyDescent="0.3">
      <c r="A204" s="84"/>
      <c r="C204" s="73" t="s">
        <v>133</v>
      </c>
      <c r="G204" s="69">
        <f>SUM(G196,G201)</f>
        <v>336890.7</v>
      </c>
      <c r="H204" s="51"/>
      <c r="J204" s="84"/>
      <c r="L204" s="67" t="s">
        <v>188</v>
      </c>
      <c r="Q204" s="51"/>
      <c r="S204" s="84"/>
      <c r="U204" s="74" t="s">
        <v>185</v>
      </c>
      <c r="Z204" s="51"/>
    </row>
    <row r="205" spans="1:26" x14ac:dyDescent="0.3">
      <c r="A205" s="84"/>
      <c r="C205" s="74" t="s">
        <v>149</v>
      </c>
      <c r="H205" s="51"/>
      <c r="J205" s="84"/>
      <c r="L205" s="67" t="s">
        <v>159</v>
      </c>
      <c r="Q205" s="51"/>
      <c r="S205" s="84"/>
      <c r="U205" s="74" t="s">
        <v>159</v>
      </c>
      <c r="Z205" s="51"/>
    </row>
    <row r="206" spans="1:26" x14ac:dyDescent="0.3">
      <c r="A206" s="84"/>
      <c r="H206" s="51"/>
      <c r="J206" s="84"/>
      <c r="L206" s="67" t="s">
        <v>189</v>
      </c>
      <c r="Q206" s="51"/>
      <c r="S206" s="84"/>
      <c r="U206" s="74" t="s">
        <v>186</v>
      </c>
      <c r="Z206" s="51"/>
    </row>
    <row r="207" spans="1:26" x14ac:dyDescent="0.3">
      <c r="A207" s="84"/>
      <c r="C207" s="73" t="s">
        <v>134</v>
      </c>
      <c r="G207" s="71">
        <f>PMT(M122/12,L125,-G204,,0)</f>
        <v>1706.9756870695783</v>
      </c>
      <c r="H207" s="51"/>
      <c r="J207" s="84"/>
      <c r="L207" s="67" t="s">
        <v>161</v>
      </c>
      <c r="Q207" s="51"/>
      <c r="S207" s="84"/>
      <c r="U207" s="74" t="s">
        <v>161</v>
      </c>
      <c r="Z207" s="51"/>
    </row>
    <row r="208" spans="1:26" x14ac:dyDescent="0.3">
      <c r="A208" s="84"/>
      <c r="C208" s="74" t="s">
        <v>135</v>
      </c>
      <c r="H208" s="51"/>
      <c r="J208" s="84"/>
      <c r="Q208" s="51"/>
      <c r="S208" s="84"/>
      <c r="Z208" s="51"/>
    </row>
    <row r="209" spans="1:26" x14ac:dyDescent="0.3">
      <c r="A209" s="84"/>
      <c r="C209" s="75" t="s">
        <v>138</v>
      </c>
      <c r="H209" s="51"/>
      <c r="J209" s="84"/>
      <c r="L209" s="73" t="s">
        <v>133</v>
      </c>
      <c r="P209" s="69">
        <f>IF(P196&gt;P199,SUM(P199,P201),SUM(P196,P201))</f>
        <v>323826.4975</v>
      </c>
      <c r="Q209" s="51"/>
      <c r="S209" s="84"/>
      <c r="U209" s="73" t="s">
        <v>134</v>
      </c>
      <c r="Y209" s="70">
        <f>PMT(M123/12,L125,-Y201,,0)</f>
        <v>1755.3341032807571</v>
      </c>
      <c r="Z209" s="51"/>
    </row>
    <row r="210" spans="1:26" x14ac:dyDescent="0.3">
      <c r="A210" s="84"/>
      <c r="C210" s="75" t="s">
        <v>139</v>
      </c>
      <c r="H210" s="51"/>
      <c r="J210" s="84"/>
      <c r="L210" s="74" t="s">
        <v>184</v>
      </c>
      <c r="Q210" s="51"/>
      <c r="S210" s="84"/>
      <c r="U210" s="74" t="s">
        <v>135</v>
      </c>
      <c r="Z210" s="51"/>
    </row>
    <row r="211" spans="1:26" x14ac:dyDescent="0.3">
      <c r="A211" s="84"/>
      <c r="C211" s="75" t="s">
        <v>140</v>
      </c>
      <c r="H211" s="51"/>
      <c r="J211" s="84"/>
      <c r="L211" s="67" t="s">
        <v>157</v>
      </c>
      <c r="Q211" s="51"/>
      <c r="S211" s="84"/>
      <c r="U211" s="75" t="s">
        <v>138</v>
      </c>
      <c r="Z211" s="51"/>
    </row>
    <row r="212" spans="1:26" x14ac:dyDescent="0.3">
      <c r="A212" s="84"/>
      <c r="C212" s="75" t="s">
        <v>141</v>
      </c>
      <c r="H212" s="51"/>
      <c r="J212" s="84"/>
      <c r="L212" s="67" t="s">
        <v>191</v>
      </c>
      <c r="Q212" s="51"/>
      <c r="S212" s="84"/>
      <c r="U212" s="75" t="s">
        <v>139</v>
      </c>
      <c r="Z212" s="51"/>
    </row>
    <row r="213" spans="1:26" x14ac:dyDescent="0.3">
      <c r="A213" s="84"/>
      <c r="C213" s="75" t="s">
        <v>142</v>
      </c>
      <c r="H213" s="51"/>
      <c r="J213" s="84"/>
      <c r="L213" s="67" t="s">
        <v>159</v>
      </c>
      <c r="Q213" s="51"/>
      <c r="S213" s="84"/>
      <c r="U213" s="75" t="s">
        <v>140</v>
      </c>
      <c r="Z213" s="51"/>
    </row>
    <row r="214" spans="1:26" x14ac:dyDescent="0.3">
      <c r="A214" s="84"/>
      <c r="H214" s="51"/>
      <c r="J214" s="84"/>
      <c r="L214" s="74" t="s">
        <v>190</v>
      </c>
      <c r="Q214" s="51"/>
      <c r="S214" s="84"/>
      <c r="U214" s="75" t="s">
        <v>141</v>
      </c>
      <c r="Z214" s="51"/>
    </row>
    <row r="215" spans="1:26" x14ac:dyDescent="0.3">
      <c r="A215" s="84"/>
      <c r="C215" s="3" t="s">
        <v>143</v>
      </c>
      <c r="G215" s="70">
        <f>G148*(R126/12)</f>
        <v>90.695000000000007</v>
      </c>
      <c r="H215" s="51"/>
      <c r="J215" s="84"/>
      <c r="L215" s="67" t="s">
        <v>161</v>
      </c>
      <c r="Q215" s="51"/>
      <c r="S215" s="84"/>
      <c r="U215" s="75" t="s">
        <v>142</v>
      </c>
      <c r="Z215" s="51"/>
    </row>
    <row r="216" spans="1:26" x14ac:dyDescent="0.3">
      <c r="A216" s="84"/>
      <c r="C216" s="74" t="s">
        <v>144</v>
      </c>
      <c r="H216" s="51"/>
      <c r="J216" s="84"/>
      <c r="Q216" s="51"/>
      <c r="S216" s="84"/>
      <c r="Z216" s="51"/>
    </row>
    <row r="217" spans="1:26" x14ac:dyDescent="0.3">
      <c r="A217" s="84"/>
      <c r="H217" s="51"/>
      <c r="J217" s="84"/>
      <c r="L217" s="73" t="s">
        <v>134</v>
      </c>
      <c r="P217" s="70">
        <f>PMT(M121/12,L125,-P209,,0)</f>
        <v>2046.8037422947416</v>
      </c>
      <c r="Q217" s="51"/>
      <c r="S217" s="84"/>
      <c r="U217" s="3" t="s">
        <v>143</v>
      </c>
      <c r="Y217" s="70">
        <f>Y148*(R126/12)</f>
        <v>90.695000000000007</v>
      </c>
      <c r="Z217" s="51"/>
    </row>
    <row r="218" spans="1:26" x14ac:dyDescent="0.3">
      <c r="A218" s="84"/>
      <c r="C218" s="73" t="s">
        <v>145</v>
      </c>
      <c r="G218" s="70">
        <f>SUM(G215,G207,G152,G150)</f>
        <v>1902.6706870695782</v>
      </c>
      <c r="H218" s="51"/>
      <c r="J218" s="84"/>
      <c r="L218" s="74" t="s">
        <v>135</v>
      </c>
      <c r="Q218" s="51"/>
      <c r="S218" s="84"/>
      <c r="U218" s="74" t="s">
        <v>144</v>
      </c>
      <c r="Z218" s="51"/>
    </row>
    <row r="219" spans="1:26" x14ac:dyDescent="0.3">
      <c r="A219" s="84"/>
      <c r="C219" s="67" t="s">
        <v>146</v>
      </c>
      <c r="G219" s="76"/>
      <c r="H219" s="51"/>
      <c r="J219" s="84"/>
      <c r="L219" s="75" t="s">
        <v>138</v>
      </c>
      <c r="Q219" s="51"/>
      <c r="S219" s="84"/>
      <c r="Z219" s="51"/>
    </row>
    <row r="220" spans="1:26" x14ac:dyDescent="0.3">
      <c r="A220" s="84"/>
      <c r="C220" s="67" t="s">
        <v>154</v>
      </c>
      <c r="G220" s="76"/>
      <c r="H220" s="51"/>
      <c r="J220" s="84"/>
      <c r="L220" s="75" t="s">
        <v>139</v>
      </c>
      <c r="Q220" s="51"/>
      <c r="S220" s="84"/>
      <c r="U220" s="73" t="s">
        <v>145</v>
      </c>
      <c r="Y220" s="70">
        <f>SUM(Y217,Y209,Y152,Y150)</f>
        <v>1951.029103280757</v>
      </c>
      <c r="Z220" s="51"/>
    </row>
    <row r="221" spans="1:26" x14ac:dyDescent="0.3">
      <c r="A221" s="84"/>
      <c r="H221" s="51"/>
      <c r="J221" s="84"/>
      <c r="L221" s="75" t="s">
        <v>140</v>
      </c>
      <c r="Q221" s="51"/>
      <c r="S221" s="84"/>
      <c r="U221" s="67" t="s">
        <v>146</v>
      </c>
      <c r="Y221" s="76"/>
      <c r="Z221" s="51"/>
    </row>
    <row r="222" spans="1:26" x14ac:dyDescent="0.3">
      <c r="A222" s="84"/>
      <c r="H222" s="51"/>
      <c r="J222" s="84"/>
      <c r="L222" s="75" t="s">
        <v>141</v>
      </c>
      <c r="Q222" s="51"/>
      <c r="S222" s="84"/>
      <c r="U222" s="67" t="s">
        <v>154</v>
      </c>
      <c r="Y222" s="76"/>
      <c r="Z222" s="51"/>
    </row>
    <row r="223" spans="1:26" ht="15.6" x14ac:dyDescent="0.3">
      <c r="A223" s="84"/>
      <c r="C223" s="72" t="s">
        <v>148</v>
      </c>
      <c r="H223" s="51"/>
      <c r="J223" s="84"/>
      <c r="L223" s="75" t="s">
        <v>142</v>
      </c>
      <c r="Q223" s="51"/>
      <c r="S223" s="84"/>
      <c r="Z223" s="51"/>
    </row>
    <row r="224" spans="1:26" x14ac:dyDescent="0.3">
      <c r="A224" s="84"/>
      <c r="H224" s="51"/>
      <c r="J224" s="84"/>
      <c r="Q224" s="51"/>
      <c r="S224" s="84"/>
      <c r="Z224" s="51"/>
    </row>
    <row r="225" spans="1:26" ht="15.6" x14ac:dyDescent="0.3">
      <c r="A225" s="84"/>
      <c r="C225" s="73" t="s">
        <v>150</v>
      </c>
      <c r="G225" s="109">
        <f>G218/G162</f>
        <v>0.19026706870695781</v>
      </c>
      <c r="H225" s="51"/>
      <c r="J225" s="84"/>
      <c r="L225" s="73" t="s">
        <v>175</v>
      </c>
      <c r="P225" s="70">
        <f>'FHA Monthly MI'!I27</f>
        <v>145.13</v>
      </c>
      <c r="Q225" s="51"/>
      <c r="S225" s="84"/>
      <c r="U225" s="72" t="s">
        <v>148</v>
      </c>
      <c r="Z225" s="51"/>
    </row>
    <row r="226" spans="1:26" x14ac:dyDescent="0.3">
      <c r="A226" s="84"/>
      <c r="C226" s="74" t="s">
        <v>151</v>
      </c>
      <c r="H226" s="51"/>
      <c r="J226" s="84"/>
      <c r="L226" s="91" t="s">
        <v>325</v>
      </c>
      <c r="Q226" s="51"/>
      <c r="S226" s="84"/>
      <c r="Z226" s="51"/>
    </row>
    <row r="227" spans="1:26" x14ac:dyDescent="0.3">
      <c r="A227" s="84"/>
      <c r="H227" s="51"/>
      <c r="J227" s="84"/>
      <c r="Q227" s="51"/>
      <c r="S227" s="84"/>
      <c r="U227" s="73" t="s">
        <v>150</v>
      </c>
      <c r="Y227" s="109">
        <f>Y220/Y162</f>
        <v>0.1951029103280757</v>
      </c>
      <c r="Z227" s="51"/>
    </row>
    <row r="228" spans="1:26" x14ac:dyDescent="0.3">
      <c r="A228" s="84"/>
      <c r="C228" s="73" t="s">
        <v>152</v>
      </c>
      <c r="G228" s="109">
        <f>(SUM(G218,G165))/G162</f>
        <v>0.32026706870695781</v>
      </c>
      <c r="H228" s="51"/>
      <c r="J228" s="84"/>
      <c r="L228" s="3" t="s">
        <v>143</v>
      </c>
      <c r="P228" s="70">
        <f>P148*(R126/12)</f>
        <v>90.695000000000007</v>
      </c>
      <c r="Q228" s="51"/>
      <c r="S228" s="84"/>
      <c r="U228" s="74" t="s">
        <v>151</v>
      </c>
      <c r="Z228" s="51"/>
    </row>
    <row r="229" spans="1:26" x14ac:dyDescent="0.3">
      <c r="A229" s="84"/>
      <c r="C229" s="74" t="s">
        <v>153</v>
      </c>
      <c r="H229" s="51"/>
      <c r="J229" s="84"/>
      <c r="L229" s="74" t="s">
        <v>144</v>
      </c>
      <c r="Q229" s="51"/>
      <c r="S229" s="84"/>
      <c r="Z229" s="51"/>
    </row>
    <row r="230" spans="1:26" x14ac:dyDescent="0.3">
      <c r="A230" s="84"/>
      <c r="H230" s="51"/>
      <c r="J230" s="84"/>
      <c r="Q230" s="51"/>
      <c r="S230" s="84"/>
      <c r="U230" s="73" t="s">
        <v>152</v>
      </c>
      <c r="Y230" s="109">
        <f>(SUM(Y220,Y165))/Y162</f>
        <v>0.3251029103280757</v>
      </c>
      <c r="Z230" s="51"/>
    </row>
    <row r="231" spans="1:26" x14ac:dyDescent="0.3">
      <c r="A231" s="84"/>
      <c r="C231" s="3" t="s">
        <v>155</v>
      </c>
      <c r="G231" s="70" t="s">
        <v>7</v>
      </c>
      <c r="H231" s="51"/>
      <c r="J231" s="84"/>
      <c r="L231" s="73" t="s">
        <v>145</v>
      </c>
      <c r="P231" s="70">
        <f>SUM(P228,P217,P152,P150,P225)</f>
        <v>2387.6287422947416</v>
      </c>
      <c r="Q231" s="51"/>
      <c r="S231" s="84"/>
      <c r="U231" s="74" t="s">
        <v>153</v>
      </c>
      <c r="Z231" s="51"/>
    </row>
    <row r="232" spans="1:26" x14ac:dyDescent="0.3">
      <c r="A232" s="84"/>
      <c r="C232" s="77" t="s">
        <v>156</v>
      </c>
      <c r="H232" s="51"/>
      <c r="J232" s="84"/>
      <c r="L232" s="67" t="s">
        <v>146</v>
      </c>
      <c r="P232" s="76"/>
      <c r="Q232" s="51"/>
      <c r="S232" s="84"/>
      <c r="Z232" s="51"/>
    </row>
    <row r="233" spans="1:26" x14ac:dyDescent="0.3">
      <c r="A233" s="84"/>
      <c r="C233" s="77" t="s">
        <v>162</v>
      </c>
      <c r="H233" s="51"/>
      <c r="J233" s="84"/>
      <c r="L233" s="67" t="s">
        <v>192</v>
      </c>
      <c r="P233" s="76"/>
      <c r="Q233" s="51"/>
      <c r="S233" s="84"/>
      <c r="U233" s="3" t="s">
        <v>155</v>
      </c>
      <c r="Y233" s="70" t="str">
        <f>IF(Y227&lt;=Q132,"PASS","FAIL")</f>
        <v>PASS</v>
      </c>
      <c r="Z233" s="51"/>
    </row>
    <row r="234" spans="1:26" x14ac:dyDescent="0.3">
      <c r="A234" s="84"/>
      <c r="C234" s="77" t="s">
        <v>157</v>
      </c>
      <c r="H234" s="51"/>
      <c r="J234" s="84"/>
      <c r="L234" s="67" t="s">
        <v>193</v>
      </c>
      <c r="Q234" s="51"/>
      <c r="S234" s="84"/>
      <c r="U234" s="77" t="s">
        <v>156</v>
      </c>
      <c r="Z234" s="51"/>
    </row>
    <row r="235" spans="1:26" x14ac:dyDescent="0.3">
      <c r="A235" s="84"/>
      <c r="C235" s="78"/>
      <c r="D235" s="79" t="s">
        <v>158</v>
      </c>
      <c r="H235" s="51"/>
      <c r="J235" s="84"/>
      <c r="Q235" s="51"/>
      <c r="S235" s="84"/>
      <c r="U235" s="77" t="s">
        <v>162</v>
      </c>
      <c r="Z235" s="51"/>
    </row>
    <row r="236" spans="1:26" x14ac:dyDescent="0.3">
      <c r="A236" s="84"/>
      <c r="C236" s="77" t="s">
        <v>159</v>
      </c>
      <c r="H236" s="51"/>
      <c r="J236" s="84"/>
      <c r="Q236" s="51"/>
      <c r="S236" s="84"/>
      <c r="U236" s="77" t="s">
        <v>157</v>
      </c>
      <c r="Z236" s="51"/>
    </row>
    <row r="237" spans="1:26" ht="15.6" x14ac:dyDescent="0.3">
      <c r="A237" s="84"/>
      <c r="C237" s="78"/>
      <c r="D237" s="80" t="s">
        <v>160</v>
      </c>
      <c r="H237" s="51"/>
      <c r="J237" s="84"/>
      <c r="L237" s="72" t="s">
        <v>148</v>
      </c>
      <c r="Q237" s="51"/>
      <c r="S237" s="84"/>
      <c r="U237" s="78"/>
      <c r="V237" s="79" t="s">
        <v>158</v>
      </c>
      <c r="Z237" s="51"/>
    </row>
    <row r="238" spans="1:26" x14ac:dyDescent="0.3">
      <c r="A238" s="84"/>
      <c r="C238" s="77" t="s">
        <v>161</v>
      </c>
      <c r="H238" s="51"/>
      <c r="J238" s="84"/>
      <c r="Q238" s="51"/>
      <c r="S238" s="84"/>
      <c r="U238" s="77" t="s">
        <v>159</v>
      </c>
      <c r="Z238" s="51"/>
    </row>
    <row r="239" spans="1:26" x14ac:dyDescent="0.3">
      <c r="A239" s="84"/>
      <c r="H239" s="51"/>
      <c r="J239" s="84"/>
      <c r="L239" s="73" t="s">
        <v>150</v>
      </c>
      <c r="P239" s="109">
        <f>P231/P162</f>
        <v>0.23876287422947418</v>
      </c>
      <c r="Q239" s="51"/>
      <c r="S239" s="84"/>
      <c r="U239" s="78"/>
      <c r="V239" s="80" t="s">
        <v>160</v>
      </c>
      <c r="Z239" s="51"/>
    </row>
    <row r="240" spans="1:26" x14ac:dyDescent="0.3">
      <c r="A240" s="84"/>
      <c r="C240" s="3" t="s">
        <v>163</v>
      </c>
      <c r="G240" s="70" t="str">
        <f>IF(G228&lt;=V123,"PASS","FAIL")</f>
        <v>PASS</v>
      </c>
      <c r="H240" s="51"/>
      <c r="J240" s="84"/>
      <c r="L240" s="74" t="s">
        <v>151</v>
      </c>
      <c r="Q240" s="51"/>
      <c r="S240" s="84"/>
      <c r="U240" s="77" t="s">
        <v>161</v>
      </c>
      <c r="Z240" s="51"/>
    </row>
    <row r="241" spans="1:26" x14ac:dyDescent="0.3">
      <c r="A241" s="84"/>
      <c r="C241" s="77" t="s">
        <v>164</v>
      </c>
      <c r="D241" s="81"/>
      <c r="H241" s="51"/>
      <c r="J241" s="84"/>
      <c r="Q241" s="51"/>
      <c r="S241" s="84"/>
      <c r="Z241" s="51"/>
    </row>
    <row r="242" spans="1:26" x14ac:dyDescent="0.3">
      <c r="A242" s="84"/>
      <c r="C242" s="77" t="s">
        <v>165</v>
      </c>
      <c r="D242" s="81"/>
      <c r="H242" s="51"/>
      <c r="J242" s="84"/>
      <c r="L242" s="73" t="s">
        <v>152</v>
      </c>
      <c r="P242" s="109">
        <f>(SUM(P231,P165))/P162</f>
        <v>0.36876287422947418</v>
      </c>
      <c r="Q242" s="51"/>
      <c r="S242" s="84"/>
      <c r="U242" s="3" t="s">
        <v>163</v>
      </c>
      <c r="Y242" s="70" t="str">
        <f>IF(Y230&lt;=V122,"PASS","FAIL")</f>
        <v>PASS</v>
      </c>
      <c r="Z242" s="51"/>
    </row>
    <row r="243" spans="1:26" x14ac:dyDescent="0.3">
      <c r="A243" s="84"/>
      <c r="C243" s="77" t="s">
        <v>157</v>
      </c>
      <c r="D243" s="81"/>
      <c r="H243" s="51"/>
      <c r="J243" s="84"/>
      <c r="L243" s="74" t="s">
        <v>153</v>
      </c>
      <c r="Q243" s="51"/>
      <c r="S243" s="84"/>
      <c r="U243" s="77" t="s">
        <v>164</v>
      </c>
      <c r="V243" s="81"/>
      <c r="Z243" s="51"/>
    </row>
    <row r="244" spans="1:26" x14ac:dyDescent="0.3">
      <c r="A244" s="84"/>
      <c r="C244" s="78"/>
      <c r="D244" s="80" t="s">
        <v>158</v>
      </c>
      <c r="H244" s="51"/>
      <c r="J244" s="84"/>
      <c r="Q244" s="51"/>
      <c r="S244" s="84"/>
      <c r="U244" s="77" t="s">
        <v>165</v>
      </c>
      <c r="V244" s="81"/>
      <c r="Z244" s="51"/>
    </row>
    <row r="245" spans="1:26" x14ac:dyDescent="0.3">
      <c r="A245" s="84"/>
      <c r="C245" s="82" t="s">
        <v>159</v>
      </c>
      <c r="D245" s="81"/>
      <c r="H245" s="51"/>
      <c r="J245" s="84"/>
      <c r="L245" s="3" t="s">
        <v>155</v>
      </c>
      <c r="P245" s="70" t="str">
        <f>IF(P239&lt;=Q131,"PASS","FAIL")</f>
        <v>PASS</v>
      </c>
      <c r="Q245" s="51"/>
      <c r="S245" s="84"/>
      <c r="U245" s="77" t="s">
        <v>157</v>
      </c>
      <c r="V245" s="81"/>
      <c r="Z245" s="51"/>
    </row>
    <row r="246" spans="1:26" x14ac:dyDescent="0.3">
      <c r="A246" s="84"/>
      <c r="C246" s="77"/>
      <c r="D246" s="80" t="s">
        <v>160</v>
      </c>
      <c r="H246" s="51"/>
      <c r="J246" s="84"/>
      <c r="L246" s="77" t="s">
        <v>156</v>
      </c>
      <c r="Q246" s="51"/>
      <c r="S246" s="84"/>
      <c r="U246" s="78"/>
      <c r="V246" s="80" t="s">
        <v>158</v>
      </c>
      <c r="Z246" s="51"/>
    </row>
    <row r="247" spans="1:26" x14ac:dyDescent="0.3">
      <c r="A247" s="84"/>
      <c r="C247" s="77" t="s">
        <v>161</v>
      </c>
      <c r="H247" s="51"/>
      <c r="J247" s="84"/>
      <c r="L247" s="77" t="s">
        <v>162</v>
      </c>
      <c r="Q247" s="51"/>
      <c r="S247" s="84"/>
      <c r="U247" s="82" t="s">
        <v>159</v>
      </c>
      <c r="V247" s="81"/>
      <c r="Z247" s="51"/>
    </row>
    <row r="248" spans="1:26" x14ac:dyDescent="0.3">
      <c r="A248" s="84"/>
      <c r="H248" s="51"/>
      <c r="J248" s="84"/>
      <c r="L248" s="77" t="s">
        <v>157</v>
      </c>
      <c r="Q248" s="51"/>
      <c r="S248" s="84"/>
      <c r="U248" s="77"/>
      <c r="V248" s="80" t="s">
        <v>160</v>
      </c>
      <c r="Z248" s="51"/>
    </row>
    <row r="249" spans="1:26" x14ac:dyDescent="0.3">
      <c r="A249" s="84"/>
      <c r="H249" s="51"/>
      <c r="J249" s="84"/>
      <c r="L249" s="78"/>
      <c r="M249" s="79" t="s">
        <v>158</v>
      </c>
      <c r="Q249" s="51"/>
      <c r="S249" s="84"/>
      <c r="U249" s="77" t="s">
        <v>161</v>
      </c>
      <c r="Z249" s="51"/>
    </row>
    <row r="250" spans="1:26" x14ac:dyDescent="0.3">
      <c r="A250" s="84"/>
      <c r="H250" s="51"/>
      <c r="J250" s="84"/>
      <c r="L250" s="77" t="s">
        <v>159</v>
      </c>
      <c r="Q250" s="51"/>
      <c r="S250" s="84"/>
      <c r="Z250" s="51"/>
    </row>
    <row r="251" spans="1:26" x14ac:dyDescent="0.3">
      <c r="A251" s="84"/>
      <c r="H251" s="51"/>
      <c r="J251" s="84"/>
      <c r="L251" s="78"/>
      <c r="M251" s="80" t="s">
        <v>160</v>
      </c>
      <c r="Q251" s="51"/>
      <c r="S251" s="84"/>
      <c r="Z251" s="51"/>
    </row>
    <row r="252" spans="1:26" x14ac:dyDescent="0.3">
      <c r="A252" s="84"/>
      <c r="H252" s="51"/>
      <c r="J252" s="84"/>
      <c r="L252" s="77" t="s">
        <v>161</v>
      </c>
      <c r="Q252" s="51"/>
      <c r="S252" s="84"/>
      <c r="Z252" s="51"/>
    </row>
    <row r="253" spans="1:26" x14ac:dyDescent="0.3">
      <c r="A253" s="84"/>
      <c r="H253" s="51"/>
      <c r="J253" s="84"/>
      <c r="Q253" s="51"/>
      <c r="S253" s="84"/>
      <c r="Z253" s="51"/>
    </row>
    <row r="254" spans="1:26" x14ac:dyDescent="0.3">
      <c r="A254" s="84"/>
      <c r="H254" s="51"/>
      <c r="J254" s="84"/>
      <c r="L254" s="3" t="s">
        <v>163</v>
      </c>
      <c r="P254" s="70" t="str">
        <f>IF(P242&lt;=V121,"PASS","FAIL")</f>
        <v>PASS</v>
      </c>
      <c r="Q254" s="51"/>
      <c r="S254" s="84"/>
      <c r="Z254" s="51"/>
    </row>
    <row r="255" spans="1:26" x14ac:dyDescent="0.3">
      <c r="A255" s="84"/>
      <c r="H255" s="51"/>
      <c r="J255" s="84"/>
      <c r="L255" s="77" t="s">
        <v>164</v>
      </c>
      <c r="M255" s="81"/>
      <c r="Q255" s="51"/>
      <c r="S255" s="84"/>
      <c r="Z255" s="51"/>
    </row>
    <row r="256" spans="1:26" x14ac:dyDescent="0.3">
      <c r="A256" s="84"/>
      <c r="H256" s="51"/>
      <c r="J256" s="84"/>
      <c r="L256" s="77" t="s">
        <v>165</v>
      </c>
      <c r="M256" s="81"/>
      <c r="Q256" s="51"/>
      <c r="S256" s="84"/>
      <c r="Z256" s="51"/>
    </row>
    <row r="257" spans="1:26" x14ac:dyDescent="0.3">
      <c r="A257" s="84"/>
      <c r="H257" s="51"/>
      <c r="J257" s="84"/>
      <c r="L257" s="77" t="s">
        <v>157</v>
      </c>
      <c r="M257" s="81"/>
      <c r="Q257" s="51"/>
      <c r="S257" s="84"/>
      <c r="Z257" s="51"/>
    </row>
    <row r="258" spans="1:26" x14ac:dyDescent="0.3">
      <c r="A258" s="84"/>
      <c r="H258" s="51"/>
      <c r="J258" s="84"/>
      <c r="L258" s="78"/>
      <c r="M258" s="80" t="s">
        <v>158</v>
      </c>
      <c r="Q258" s="51"/>
      <c r="S258" s="84"/>
      <c r="Z258" s="51"/>
    </row>
    <row r="259" spans="1:26" x14ac:dyDescent="0.3">
      <c r="A259" s="84"/>
      <c r="H259" s="51"/>
      <c r="J259" s="84"/>
      <c r="L259" s="82" t="s">
        <v>159</v>
      </c>
      <c r="M259" s="81"/>
      <c r="Q259" s="51"/>
      <c r="S259" s="84"/>
      <c r="Z259" s="51"/>
    </row>
    <row r="260" spans="1:26" x14ac:dyDescent="0.3">
      <c r="A260" s="84"/>
      <c r="H260" s="51"/>
      <c r="J260" s="84"/>
      <c r="L260" s="77"/>
      <c r="M260" s="80" t="s">
        <v>160</v>
      </c>
      <c r="Q260" s="51"/>
      <c r="S260" s="84"/>
      <c r="Z260" s="51"/>
    </row>
    <row r="261" spans="1:26" x14ac:dyDescent="0.3">
      <c r="A261" s="84"/>
      <c r="H261" s="51"/>
      <c r="J261" s="84"/>
      <c r="L261" s="77" t="s">
        <v>161</v>
      </c>
      <c r="Q261" s="51"/>
      <c r="S261" s="84"/>
      <c r="Z261" s="51"/>
    </row>
    <row r="262" spans="1:26" x14ac:dyDescent="0.3">
      <c r="A262" s="84"/>
      <c r="H262" s="51"/>
      <c r="J262" s="84"/>
      <c r="L262" s="77"/>
      <c r="Q262" s="51"/>
      <c r="S262" s="84"/>
      <c r="Z262" s="51"/>
    </row>
    <row r="263" spans="1:26" x14ac:dyDescent="0.3">
      <c r="A263" s="84"/>
      <c r="B263" s="95"/>
      <c r="C263" s="95"/>
      <c r="D263" s="95"/>
      <c r="E263" s="95"/>
      <c r="F263" s="95"/>
      <c r="G263" s="95"/>
      <c r="H263" s="104"/>
      <c r="J263" s="84"/>
      <c r="K263" s="95"/>
      <c r="L263" s="95"/>
      <c r="M263" s="96"/>
      <c r="N263" s="95"/>
      <c r="O263" s="95"/>
      <c r="P263" s="95"/>
      <c r="Q263" s="104"/>
      <c r="S263" s="84"/>
      <c r="T263" s="95"/>
      <c r="U263" s="95"/>
      <c r="V263" s="95"/>
      <c r="W263" s="95"/>
      <c r="X263" s="95"/>
      <c r="Y263" s="95"/>
      <c r="Z263" s="104"/>
    </row>
    <row r="264" spans="1:26" ht="15.6" x14ac:dyDescent="0.3">
      <c r="A264" s="84"/>
      <c r="C264" s="87" t="s">
        <v>122</v>
      </c>
      <c r="D264" s="81"/>
      <c r="G264" s="92" t="str">
        <f>IF(AND(G240="PASS",G130="Sí"),"Prequalified","Not Prequalified")</f>
        <v>Prequalified</v>
      </c>
      <c r="H264" s="51"/>
      <c r="J264" s="84"/>
      <c r="L264" s="87" t="s">
        <v>122</v>
      </c>
      <c r="M264" s="81"/>
      <c r="P264" s="92" t="str">
        <f>IF(AND(P245="PASS",P254="PASS",P154="Residencia Principal"),"Prequalified","Not Prequalified")</f>
        <v>Prequalified</v>
      </c>
      <c r="Q264" s="51"/>
      <c r="S264" s="84"/>
      <c r="U264" s="87" t="s">
        <v>122</v>
      </c>
      <c r="V264" s="81"/>
      <c r="Y264" s="92" t="str">
        <f>IF(AND(Y233="PASS",Y242="PASS"),"Prequalified","Not Prequalified")</f>
        <v>Prequalified</v>
      </c>
      <c r="Z264" s="51"/>
    </row>
    <row r="265" spans="1:26" x14ac:dyDescent="0.3">
      <c r="A265" s="84"/>
      <c r="C265" s="77" t="s">
        <v>177</v>
      </c>
      <c r="D265" s="81"/>
      <c r="H265" s="51"/>
      <c r="J265" s="84"/>
      <c r="L265" s="77" t="s">
        <v>166</v>
      </c>
      <c r="M265" s="81"/>
      <c r="Q265" s="51"/>
      <c r="S265" s="84"/>
      <c r="U265" s="77" t="s">
        <v>178</v>
      </c>
      <c r="V265" s="81"/>
      <c r="Z265" s="51"/>
    </row>
    <row r="266" spans="1:26" x14ac:dyDescent="0.3">
      <c r="A266" s="84"/>
      <c r="C266" s="82" t="s">
        <v>169</v>
      </c>
      <c r="D266" s="88"/>
      <c r="H266" s="51"/>
      <c r="J266" s="84"/>
      <c r="L266" s="82" t="s">
        <v>169</v>
      </c>
      <c r="M266" s="88"/>
      <c r="Q266" s="51"/>
      <c r="S266" s="84"/>
      <c r="U266" s="82" t="s">
        <v>169</v>
      </c>
      <c r="V266" s="88"/>
      <c r="Z266" s="51"/>
    </row>
    <row r="267" spans="1:26" x14ac:dyDescent="0.3">
      <c r="A267" s="84"/>
      <c r="C267" s="82" t="s">
        <v>170</v>
      </c>
      <c r="H267" s="51"/>
      <c r="J267" s="84"/>
      <c r="L267" s="82" t="s">
        <v>170</v>
      </c>
      <c r="Q267" s="51"/>
      <c r="S267" s="84"/>
      <c r="U267" s="82" t="s">
        <v>170</v>
      </c>
      <c r="Z267" s="51"/>
    </row>
    <row r="268" spans="1:26" x14ac:dyDescent="0.3">
      <c r="A268" s="84"/>
      <c r="C268" s="82" t="s">
        <v>157</v>
      </c>
      <c r="H268" s="51"/>
      <c r="J268" s="84"/>
      <c r="L268" s="82" t="s">
        <v>157</v>
      </c>
      <c r="Q268" s="51"/>
      <c r="S268" s="84"/>
      <c r="U268" s="82" t="s">
        <v>157</v>
      </c>
      <c r="Z268" s="51"/>
    </row>
    <row r="269" spans="1:26" x14ac:dyDescent="0.3">
      <c r="A269" s="84"/>
      <c r="C269" s="89" t="s">
        <v>167</v>
      </c>
      <c r="H269" s="51"/>
      <c r="J269" s="84"/>
      <c r="L269" s="89" t="s">
        <v>167</v>
      </c>
      <c r="Q269" s="51"/>
      <c r="S269" s="84"/>
      <c r="U269" s="89" t="s">
        <v>167</v>
      </c>
      <c r="Z269" s="51"/>
    </row>
    <row r="270" spans="1:26" x14ac:dyDescent="0.3">
      <c r="A270" s="84"/>
      <c r="C270" s="82" t="s">
        <v>159</v>
      </c>
      <c r="H270" s="51"/>
      <c r="J270" s="84"/>
      <c r="L270" s="82" t="s">
        <v>159</v>
      </c>
      <c r="Q270" s="51"/>
      <c r="S270" s="84"/>
      <c r="U270" s="82" t="s">
        <v>159</v>
      </c>
      <c r="Z270" s="51"/>
    </row>
    <row r="271" spans="1:26" x14ac:dyDescent="0.3">
      <c r="A271" s="84"/>
      <c r="C271" s="89" t="s">
        <v>168</v>
      </c>
      <c r="H271" s="51"/>
      <c r="J271" s="84"/>
      <c r="L271" s="89" t="s">
        <v>168</v>
      </c>
      <c r="Q271" s="51"/>
      <c r="S271" s="84"/>
      <c r="U271" s="89" t="s">
        <v>168</v>
      </c>
      <c r="Z271" s="51"/>
    </row>
    <row r="272" spans="1:26" x14ac:dyDescent="0.3">
      <c r="A272" s="84"/>
      <c r="C272" s="82" t="s">
        <v>161</v>
      </c>
      <c r="H272" s="51"/>
      <c r="J272" s="84"/>
      <c r="L272" s="82" t="s">
        <v>161</v>
      </c>
      <c r="Q272" s="51"/>
      <c r="S272" s="84"/>
      <c r="U272" s="82" t="s">
        <v>161</v>
      </c>
      <c r="Z272" s="51"/>
    </row>
    <row r="273" spans="1:26" ht="15" thickBot="1" x14ac:dyDescent="0.35">
      <c r="A273" s="84"/>
      <c r="B273" s="83"/>
      <c r="C273" s="83"/>
      <c r="D273" s="83"/>
      <c r="E273" s="83"/>
      <c r="F273" s="83"/>
      <c r="G273" s="83"/>
      <c r="H273" s="105"/>
      <c r="J273" s="84"/>
      <c r="K273" s="83"/>
      <c r="L273" s="83"/>
      <c r="M273" s="83"/>
      <c r="N273" s="83"/>
      <c r="O273" s="83"/>
      <c r="P273" s="83"/>
      <c r="Q273" s="105"/>
      <c r="S273" s="84"/>
      <c r="T273" s="83"/>
      <c r="U273" s="83"/>
      <c r="V273" s="83"/>
      <c r="W273" s="83"/>
      <c r="X273" s="83"/>
      <c r="Y273" s="83"/>
      <c r="Z273" s="105"/>
    </row>
    <row r="274" spans="1:26" ht="15" thickTop="1" x14ac:dyDescent="0.3"/>
  </sheetData>
  <mergeCells count="50">
    <mergeCell ref="A112:Z112"/>
    <mergeCell ref="N124:O125"/>
    <mergeCell ref="T142:U144"/>
    <mergeCell ref="G34:I34"/>
    <mergeCell ref="K142:L144"/>
    <mergeCell ref="G57:I57"/>
    <mergeCell ref="D36:F36"/>
    <mergeCell ref="G36:I36"/>
    <mergeCell ref="D38:F38"/>
    <mergeCell ref="C41:F41"/>
    <mergeCell ref="G43:I43"/>
    <mergeCell ref="G45:I45"/>
    <mergeCell ref="B126:F126"/>
    <mergeCell ref="G38:I38"/>
    <mergeCell ref="B119:F119"/>
    <mergeCell ref="B120:F120"/>
    <mergeCell ref="C64:F64"/>
    <mergeCell ref="G66:I66"/>
    <mergeCell ref="G68:I68"/>
    <mergeCell ref="C21:F21"/>
    <mergeCell ref="C26:F26"/>
    <mergeCell ref="G28:I28"/>
    <mergeCell ref="G30:I30"/>
    <mergeCell ref="G32:I32"/>
    <mergeCell ref="G47:I47"/>
    <mergeCell ref="G49:I49"/>
    <mergeCell ref="G51:I51"/>
    <mergeCell ref="G53:I53"/>
    <mergeCell ref="G59:I59"/>
    <mergeCell ref="C100:P109"/>
    <mergeCell ref="G72:I72"/>
    <mergeCell ref="G74:I74"/>
    <mergeCell ref="G55:I55"/>
    <mergeCell ref="A136:B138"/>
    <mergeCell ref="A113:B115"/>
    <mergeCell ref="I113:J115"/>
    <mergeCell ref="B121:F121"/>
    <mergeCell ref="B122:F122"/>
    <mergeCell ref="B123:F123"/>
    <mergeCell ref="B124:F124"/>
    <mergeCell ref="G76:I76"/>
    <mergeCell ref="D87:I87"/>
    <mergeCell ref="D89:J89"/>
    <mergeCell ref="G70:I70"/>
    <mergeCell ref="G61:I61"/>
    <mergeCell ref="B142:C144"/>
    <mergeCell ref="B127:F127"/>
    <mergeCell ref="B128:F128"/>
    <mergeCell ref="B129:F129"/>
    <mergeCell ref="B125:F125"/>
  </mergeCells>
  <conditionalFormatting sqref="G264">
    <cfRule type="containsText" dxfId="13" priority="13" operator="containsText" text="Not">
      <formula>NOT(ISERROR(SEARCH("Not",G264)))</formula>
    </cfRule>
    <cfRule type="containsText" dxfId="12" priority="14" operator="containsText" text="Prequalified">
      <formula>NOT(ISERROR(SEARCH("Prequalified",G264)))</formula>
    </cfRule>
    <cfRule type="containsText" dxfId="11" priority="15" operator="containsText" text="Not Prequalified">
      <formula>NOT(ISERROR(SEARCH("Not Prequalified",G264)))</formula>
    </cfRule>
  </conditionalFormatting>
  <conditionalFormatting sqref="P264">
    <cfRule type="containsText" dxfId="10" priority="7" operator="containsText" text="Not">
      <formula>NOT(ISERROR(SEARCH("Not",P264)))</formula>
    </cfRule>
    <cfRule type="containsText" dxfId="9" priority="8" operator="containsText" text="Prequalified">
      <formula>NOT(ISERROR(SEARCH("Prequalified",P264)))</formula>
    </cfRule>
    <cfRule type="containsText" dxfId="8" priority="9" operator="containsText" text="Not Prequalified">
      <formula>NOT(ISERROR(SEARCH("Not Prequalified",P264)))</formula>
    </cfRule>
  </conditionalFormatting>
  <conditionalFormatting sqref="Y264">
    <cfRule type="containsText" dxfId="7" priority="1" operator="containsText" text="Not">
      <formula>NOT(ISERROR(SEARCH("Not",Y264)))</formula>
    </cfRule>
    <cfRule type="containsText" dxfId="6" priority="2" operator="containsText" text="Prequalified">
      <formula>NOT(ISERROR(SEARCH("Prequalified",Y264)))</formula>
    </cfRule>
    <cfRule type="containsText" dxfId="5" priority="3" operator="containsText" text="Not Prequalified">
      <formula>NOT(ISERROR(SEARCH("Not Prequalified",Y264)))</formula>
    </cfRule>
  </conditionalFormatting>
  <dataValidations count="5">
    <dataValidation type="list" allowBlank="1" showInputMessage="1" showErrorMessage="1" sqref="G51:I51 G61:I61" xr:uid="{1063AAB8-A50B-4A3C-9349-457F3AE7EF7F}">
      <formula1>"Sí, No"</formula1>
    </dataValidation>
    <dataValidation type="list" allowBlank="1" showInputMessage="1" showErrorMessage="1" sqref="G30:I30" xr:uid="{A7860784-8B51-48B4-A72A-7FF16463C0E9}">
      <formula1>"Residencia Principal, Segunda Residencia, Residencia de Inversión"</formula1>
    </dataValidation>
    <dataValidation type="list" allowBlank="1" showInputMessage="1" showErrorMessage="1" sqref="G28" xr:uid="{859F2569-C169-4E4E-A496-DDAFADCD7998}">
      <formula1>"Ya encontré una propiedad, Estoy en búsqueda de una propiedad"</formula1>
    </dataValidation>
    <dataValidation type="list" allowBlank="1" showInputMessage="1" showErrorMessage="1" sqref="G23" xr:uid="{BD9259F3-62EB-4BEF-8EDA-1620243D7A95}">
      <formula1>"Comprar , Refinanciar"</formula1>
    </dataValidation>
    <dataValidation type="list" allowBlank="1" showInputMessage="1" showErrorMessage="1" sqref="G53:I53 G70:I70" xr:uid="{1A14A6EA-5A5F-4325-A01F-5BA3CA5A551D}">
      <formula1>"Salario, Servicios Profesionales o Trabajo por Cuenta Propia, Pensionado"</formula1>
    </dataValidation>
  </dataValidations>
  <hyperlinks>
    <hyperlink ref="G49" r:id="rId1" xr:uid="{601F2D00-D451-4406-B4F7-C19F5C84D9B6}"/>
  </hyperlinks>
  <pageMargins left="0.7" right="0.7" top="0.75" bottom="0.75" header="0.3" footer="0.3"/>
  <pageSetup scale="15" orientation="portrait" r:id="rId2"/>
  <ignoredErrors>
    <ignoredError sqref="G125" 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30721" r:id="rId5" name="Button 1">
              <controlPr defaultSize="0" print="0" autoFill="0" autoPict="0" macro="[0]!Sheet4.prequal_submit">
                <anchor moveWithCells="1" sizeWithCells="1">
                  <from>
                    <xdr:col>6</xdr:col>
                    <xdr:colOff>883920</xdr:colOff>
                    <xdr:row>90</xdr:row>
                    <xdr:rowOff>175260</xdr:rowOff>
                  </from>
                  <to>
                    <xdr:col>8</xdr:col>
                    <xdr:colOff>670560</xdr:colOff>
                    <xdr:row>93</xdr:row>
                    <xdr:rowOff>121920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2FB5C5-D606-4CD4-8D7C-D824D2D7E905}">
          <x14:formula1>
            <xm:f>'FHA_HUD Loan Limits Reference'!$C$6:$C$83</xm:f>
          </x14:formula1>
          <xm:sqref>G32:I32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E779E-2090-455F-BC8A-172F18386013}">
  <sheetPr codeName="Sheet14">
    <pageSetUpPr fitToPage="1"/>
  </sheetPr>
  <dimension ref="B1:R71"/>
  <sheetViews>
    <sheetView showGridLines="0" topLeftCell="A12" zoomScale="70" zoomScaleNormal="70" workbookViewId="0">
      <selection activeCell="D29" sqref="D29"/>
    </sheetView>
  </sheetViews>
  <sheetFormatPr defaultRowHeight="14.4" x14ac:dyDescent="0.3"/>
  <cols>
    <col min="3" max="3" width="18" customWidth="1"/>
    <col min="4" max="4" width="14.88671875" customWidth="1"/>
    <col min="5" max="5" width="5" customWidth="1"/>
    <col min="6" max="6" width="22" customWidth="1"/>
    <col min="7" max="7" width="22.5546875" customWidth="1"/>
    <col min="8" max="8" width="15.5546875" customWidth="1"/>
    <col min="9" max="9" width="24" customWidth="1"/>
    <col min="10" max="10" width="31.5546875" customWidth="1"/>
    <col min="11" max="11" width="29.109375" customWidth="1"/>
    <col min="13" max="13" width="11.6640625" customWidth="1"/>
    <col min="14" max="14" width="11" customWidth="1"/>
    <col min="15" max="15" width="8.88671875" customWidth="1"/>
    <col min="17" max="17" width="4.109375" customWidth="1"/>
    <col min="18" max="18" width="9.109375" customWidth="1"/>
  </cols>
  <sheetData>
    <row r="1" spans="2:18" ht="15" thickBot="1" x14ac:dyDescent="0.35"/>
    <row r="2" spans="2:18" x14ac:dyDescent="0.3">
      <c r="B2" s="24"/>
      <c r="C2" s="11"/>
      <c r="D2" s="11"/>
      <c r="E2" s="11"/>
      <c r="F2" s="11"/>
      <c r="G2" s="11"/>
      <c r="H2" s="11"/>
      <c r="I2" s="11"/>
      <c r="J2" s="11"/>
      <c r="K2" s="11"/>
      <c r="L2" s="11"/>
      <c r="M2" s="11"/>
      <c r="N2" s="11"/>
      <c r="O2" s="11"/>
      <c r="P2" s="11"/>
      <c r="Q2" s="11"/>
      <c r="R2" s="12"/>
    </row>
    <row r="3" spans="2:18" x14ac:dyDescent="0.3">
      <c r="B3" s="13"/>
      <c r="R3" s="14"/>
    </row>
    <row r="4" spans="2:18" x14ac:dyDescent="0.3">
      <c r="B4" s="13"/>
      <c r="R4" s="14"/>
    </row>
    <row r="5" spans="2:18" x14ac:dyDescent="0.3">
      <c r="B5" s="13"/>
      <c r="R5" s="14"/>
    </row>
    <row r="6" spans="2:18" x14ac:dyDescent="0.3">
      <c r="B6" s="13"/>
      <c r="R6" s="14"/>
    </row>
    <row r="7" spans="2:18" x14ac:dyDescent="0.3">
      <c r="B7" s="13"/>
      <c r="R7" s="14"/>
    </row>
    <row r="8" spans="2:18" x14ac:dyDescent="0.3">
      <c r="B8" s="13"/>
      <c r="R8" s="14"/>
    </row>
    <row r="9" spans="2:18" x14ac:dyDescent="0.3">
      <c r="B9" s="13"/>
      <c r="R9" s="14"/>
    </row>
    <row r="10" spans="2:18" x14ac:dyDescent="0.3">
      <c r="B10" s="13"/>
      <c r="R10" s="14"/>
    </row>
    <row r="11" spans="2:18" x14ac:dyDescent="0.3">
      <c r="B11" s="13"/>
      <c r="R11" s="14"/>
    </row>
    <row r="12" spans="2:18" x14ac:dyDescent="0.3">
      <c r="B12" s="13"/>
      <c r="R12" s="14"/>
    </row>
    <row r="13" spans="2:18" ht="19.8" x14ac:dyDescent="0.4">
      <c r="B13" s="13"/>
      <c r="C13" s="36">
        <f ca="1">TODAY()</f>
        <v>45516</v>
      </c>
      <c r="R13" s="14"/>
    </row>
    <row r="14" spans="2:18" x14ac:dyDescent="0.3">
      <c r="B14" s="13"/>
      <c r="R14" s="14"/>
    </row>
    <row r="15" spans="2:18" ht="18" x14ac:dyDescent="0.35">
      <c r="B15" s="13"/>
      <c r="C15" s="37" t="str">
        <f>UPPER(_xlfn.CONCAT('Prequal Engine'!G43:I43," ",'Prequal Engine'!G45:I45))</f>
        <v>JORLYS ALVARADO MORALES</v>
      </c>
      <c r="R15" s="14"/>
    </row>
    <row r="16" spans="2:18" ht="15.6" x14ac:dyDescent="0.3">
      <c r="B16" s="13"/>
      <c r="C16" s="41" t="s">
        <v>66</v>
      </c>
      <c r="D16" s="38"/>
      <c r="R16" s="14"/>
    </row>
    <row r="17" spans="2:18" x14ac:dyDescent="0.3">
      <c r="B17" s="13"/>
      <c r="R17" s="14"/>
    </row>
    <row r="18" spans="2:18" x14ac:dyDescent="0.3">
      <c r="B18" s="13"/>
      <c r="R18" s="14"/>
    </row>
    <row r="19" spans="2:18" ht="18" x14ac:dyDescent="0.35">
      <c r="B19" s="13"/>
      <c r="C19" s="37" t="str" cm="1">
        <f t="array" ref="C19">_xlfn.CONCAT("Dear", "  ",UPPER('Prequal Engine'!G43:I43),",")</f>
        <v>Dear  JORLYS,</v>
      </c>
      <c r="D19" s="38"/>
      <c r="R19" s="14"/>
    </row>
    <row r="20" spans="2:18" x14ac:dyDescent="0.3">
      <c r="B20" s="13"/>
      <c r="R20" s="14"/>
    </row>
    <row r="21" spans="2:18" ht="18.75" customHeight="1" x14ac:dyDescent="0.3">
      <c r="B21" s="13"/>
      <c r="C21" s="163" t="s">
        <v>74</v>
      </c>
      <c r="D21" s="163"/>
      <c r="E21" s="163"/>
      <c r="F21" s="163"/>
      <c r="G21" s="163"/>
      <c r="H21" s="163"/>
      <c r="I21" s="163"/>
      <c r="J21" s="163"/>
      <c r="K21" s="163"/>
      <c r="L21" s="163"/>
      <c r="M21" s="163"/>
      <c r="N21" s="163"/>
      <c r="O21" s="163"/>
      <c r="P21" s="163"/>
      <c r="Q21" s="163"/>
      <c r="R21" s="14"/>
    </row>
    <row r="22" spans="2:18" x14ac:dyDescent="0.3">
      <c r="B22" s="13"/>
      <c r="C22" s="163"/>
      <c r="D22" s="163"/>
      <c r="E22" s="163"/>
      <c r="F22" s="163"/>
      <c r="G22" s="163"/>
      <c r="H22" s="163"/>
      <c r="I22" s="163"/>
      <c r="J22" s="163"/>
      <c r="K22" s="163"/>
      <c r="L22" s="163"/>
      <c r="M22" s="163"/>
      <c r="N22" s="163"/>
      <c r="O22" s="163"/>
      <c r="P22" s="163"/>
      <c r="Q22" s="163"/>
      <c r="R22" s="14"/>
    </row>
    <row r="23" spans="2:18" x14ac:dyDescent="0.3">
      <c r="B23" s="13"/>
      <c r="R23" s="14"/>
    </row>
    <row r="24" spans="2:18" ht="18" x14ac:dyDescent="0.35">
      <c r="B24" s="13"/>
      <c r="D24" s="33" t="s">
        <v>43</v>
      </c>
      <c r="I24" s="35" t="str">
        <f>IF(I26="N/A","","FHA")</f>
        <v>FHA</v>
      </c>
      <c r="J24" s="35" t="str">
        <f>IF(J26="N/A","","Convencional Freddie Mac")</f>
        <v>Convencional Freddie Mac</v>
      </c>
      <c r="K24" s="35" t="str">
        <f>IF(K26="N/A","","VA")</f>
        <v>VA</v>
      </c>
      <c r="R24" s="14"/>
    </row>
    <row r="25" spans="2:18" ht="18" x14ac:dyDescent="0.35">
      <c r="B25" s="13"/>
      <c r="D25" s="34"/>
      <c r="I25" s="28"/>
      <c r="R25" s="14"/>
    </row>
    <row r="26" spans="2:18" ht="18" x14ac:dyDescent="0.35">
      <c r="B26" s="13"/>
      <c r="D26" s="43" t="s">
        <v>73</v>
      </c>
      <c r="I26" s="129">
        <f>'Prequal Engine'!P176</f>
        <v>323826.4975</v>
      </c>
      <c r="J26" s="130">
        <f>'Prequal Engine'!Y176</f>
        <v>263840</v>
      </c>
      <c r="K26" s="130">
        <f>'Prequal Engine'!G176</f>
        <v>336890.7</v>
      </c>
      <c r="R26" s="14"/>
    </row>
    <row r="27" spans="2:18" ht="18" x14ac:dyDescent="0.35">
      <c r="B27" s="13"/>
      <c r="D27" s="33" t="s">
        <v>70</v>
      </c>
      <c r="I27" s="39" t="str">
        <f>IF(I28="N/A", "N/A","30 years")</f>
        <v>30 years</v>
      </c>
      <c r="J27" s="39" t="str">
        <f>IF(J26="N/A", "N/A","30 years")</f>
        <v>30 years</v>
      </c>
      <c r="K27" s="39" t="str">
        <f>IF(K26="N/A", "N/A","30 years")</f>
        <v>30 years</v>
      </c>
      <c r="R27" s="14"/>
    </row>
    <row r="28" spans="2:18" ht="18" x14ac:dyDescent="0.35">
      <c r="B28" s="13"/>
      <c r="D28" s="33" t="s">
        <v>5</v>
      </c>
      <c r="I28" s="40">
        <f>'Prequal Engine'!P180</f>
        <v>6.5000000000000002E-2</v>
      </c>
      <c r="J28" s="40">
        <f>'Prequal Engine'!Y180</f>
        <v>7.0000000000000007E-2</v>
      </c>
      <c r="K28" s="40">
        <f>'Prequal Engine'!G180</f>
        <v>4.4999999999999998E-2</v>
      </c>
      <c r="R28" s="14"/>
    </row>
    <row r="29" spans="2:18" ht="18" x14ac:dyDescent="0.35">
      <c r="B29" s="13"/>
      <c r="D29" s="33" t="s">
        <v>71</v>
      </c>
      <c r="I29" s="40">
        <f>IF(I28="N/A", "N/A",5%)</f>
        <v>0.05</v>
      </c>
      <c r="J29" s="40">
        <f t="shared" ref="J29:K29" si="0">IF(J28="N/A", "N/A",5%)</f>
        <v>0.05</v>
      </c>
      <c r="K29" s="40">
        <f t="shared" si="0"/>
        <v>0.05</v>
      </c>
      <c r="R29" s="14"/>
    </row>
    <row r="30" spans="2:18" ht="19.8" x14ac:dyDescent="0.35">
      <c r="B30" s="13"/>
      <c r="D30" s="33" t="s">
        <v>72</v>
      </c>
      <c r="I30" s="129">
        <f>'Prequal Engine'!P182</f>
        <v>2046.8037422947416</v>
      </c>
      <c r="J30" s="129">
        <f>'Prequal Engine'!Y182</f>
        <v>1755.3341032807571</v>
      </c>
      <c r="K30" s="129">
        <f>'Prequal Engine'!G182</f>
        <v>1706.9756870695783</v>
      </c>
      <c r="R30" s="14"/>
    </row>
    <row r="31" spans="2:18" ht="18" x14ac:dyDescent="0.35">
      <c r="B31" s="13"/>
      <c r="D31" s="33" t="s">
        <v>327</v>
      </c>
      <c r="I31" s="129">
        <f>'Prequal Engine'!P178</f>
        <v>5973.5025000000023</v>
      </c>
      <c r="J31" s="129">
        <f>'Prequal Engine'!Y178</f>
        <v>65960</v>
      </c>
      <c r="K31" s="131" t="str">
        <f>IF(K30="N/A","N/A","$0.00")</f>
        <v>$0.00</v>
      </c>
      <c r="R31" s="14"/>
    </row>
    <row r="32" spans="2:18" x14ac:dyDescent="0.3">
      <c r="B32" s="13"/>
      <c r="R32" s="14"/>
    </row>
    <row r="33" spans="2:18" ht="29.25" customHeight="1" x14ac:dyDescent="0.3">
      <c r="B33" s="13"/>
      <c r="C33" s="164" t="s">
        <v>176</v>
      </c>
      <c r="D33" s="165"/>
      <c r="E33" s="165"/>
      <c r="F33" s="165"/>
      <c r="G33" s="165"/>
      <c r="H33" s="165"/>
      <c r="I33" s="165"/>
      <c r="J33" s="165"/>
      <c r="K33" s="165"/>
      <c r="L33" s="165"/>
      <c r="M33" s="165"/>
      <c r="N33" s="165"/>
      <c r="O33" s="165"/>
      <c r="P33" s="165"/>
      <c r="Q33" s="165"/>
      <c r="R33" s="14"/>
    </row>
    <row r="34" spans="2:18" ht="29.25" customHeight="1" x14ac:dyDescent="0.3">
      <c r="B34" s="13"/>
      <c r="C34" s="165"/>
      <c r="D34" s="165"/>
      <c r="E34" s="165"/>
      <c r="F34" s="165"/>
      <c r="G34" s="165"/>
      <c r="H34" s="165"/>
      <c r="I34" s="165"/>
      <c r="J34" s="165"/>
      <c r="K34" s="165"/>
      <c r="L34" s="165"/>
      <c r="M34" s="165"/>
      <c r="N34" s="165"/>
      <c r="O34" s="165"/>
      <c r="P34" s="165"/>
      <c r="Q34" s="165"/>
      <c r="R34" s="14"/>
    </row>
    <row r="35" spans="2:18" ht="29.25" customHeight="1" x14ac:dyDescent="0.3">
      <c r="B35" s="13"/>
      <c r="C35" s="165"/>
      <c r="D35" s="165"/>
      <c r="E35" s="165"/>
      <c r="F35" s="165"/>
      <c r="G35" s="165"/>
      <c r="H35" s="165"/>
      <c r="I35" s="165"/>
      <c r="J35" s="165"/>
      <c r="K35" s="165"/>
      <c r="L35" s="165"/>
      <c r="M35" s="165"/>
      <c r="N35" s="165"/>
      <c r="O35" s="165"/>
      <c r="P35" s="165"/>
      <c r="Q35" s="165"/>
      <c r="R35" s="14"/>
    </row>
    <row r="36" spans="2:18" x14ac:dyDescent="0.3">
      <c r="B36" s="13"/>
      <c r="C36" s="165"/>
      <c r="D36" s="165"/>
      <c r="E36" s="165"/>
      <c r="F36" s="165"/>
      <c r="G36" s="165"/>
      <c r="H36" s="165"/>
      <c r="I36" s="165"/>
      <c r="J36" s="165"/>
      <c r="K36" s="165"/>
      <c r="L36" s="165"/>
      <c r="M36" s="165"/>
      <c r="N36" s="165"/>
      <c r="O36" s="165"/>
      <c r="P36" s="165"/>
      <c r="Q36" s="165"/>
      <c r="R36" s="14"/>
    </row>
    <row r="37" spans="2:18" x14ac:dyDescent="0.3">
      <c r="B37" s="13"/>
      <c r="C37" s="165"/>
      <c r="D37" s="165"/>
      <c r="E37" s="165"/>
      <c r="F37" s="165"/>
      <c r="G37" s="165"/>
      <c r="H37" s="165"/>
      <c r="I37" s="165"/>
      <c r="J37" s="165"/>
      <c r="K37" s="165"/>
      <c r="L37" s="165"/>
      <c r="M37" s="165"/>
      <c r="N37" s="165"/>
      <c r="O37" s="165"/>
      <c r="P37" s="165"/>
      <c r="Q37" s="165"/>
      <c r="R37" s="14"/>
    </row>
    <row r="38" spans="2:18" x14ac:dyDescent="0.3">
      <c r="B38" s="13"/>
      <c r="C38" s="165"/>
      <c r="D38" s="165"/>
      <c r="E38" s="165"/>
      <c r="F38" s="165"/>
      <c r="G38" s="165"/>
      <c r="H38" s="165"/>
      <c r="I38" s="165"/>
      <c r="J38" s="165"/>
      <c r="K38" s="165"/>
      <c r="L38" s="165"/>
      <c r="M38" s="165"/>
      <c r="N38" s="165"/>
      <c r="O38" s="165"/>
      <c r="P38" s="165"/>
      <c r="Q38" s="165"/>
      <c r="R38" s="14"/>
    </row>
    <row r="39" spans="2:18" x14ac:dyDescent="0.3">
      <c r="B39" s="13"/>
      <c r="C39" s="165"/>
      <c r="D39" s="165"/>
      <c r="E39" s="165"/>
      <c r="F39" s="165"/>
      <c r="G39" s="165"/>
      <c r="H39" s="165"/>
      <c r="I39" s="165"/>
      <c r="J39" s="165"/>
      <c r="K39" s="165"/>
      <c r="L39" s="165"/>
      <c r="M39" s="165"/>
      <c r="N39" s="165"/>
      <c r="O39" s="165"/>
      <c r="P39" s="165"/>
      <c r="Q39" s="165"/>
      <c r="R39" s="14"/>
    </row>
    <row r="40" spans="2:18" x14ac:dyDescent="0.3">
      <c r="B40" s="13"/>
      <c r="C40" s="165"/>
      <c r="D40" s="165"/>
      <c r="E40" s="165"/>
      <c r="F40" s="165"/>
      <c r="G40" s="165"/>
      <c r="H40" s="165"/>
      <c r="I40" s="165"/>
      <c r="J40" s="165"/>
      <c r="K40" s="165"/>
      <c r="L40" s="165"/>
      <c r="M40" s="165"/>
      <c r="N40" s="165"/>
      <c r="O40" s="165"/>
      <c r="P40" s="165"/>
      <c r="Q40" s="165"/>
      <c r="R40" s="14"/>
    </row>
    <row r="41" spans="2:18" x14ac:dyDescent="0.3">
      <c r="B41" s="13"/>
      <c r="C41" s="165"/>
      <c r="D41" s="165"/>
      <c r="E41" s="165"/>
      <c r="F41" s="165"/>
      <c r="G41" s="165"/>
      <c r="H41" s="165"/>
      <c r="I41" s="165"/>
      <c r="J41" s="165"/>
      <c r="K41" s="165"/>
      <c r="L41" s="165"/>
      <c r="M41" s="165"/>
      <c r="N41" s="165"/>
      <c r="O41" s="165"/>
      <c r="P41" s="165"/>
      <c r="Q41" s="165"/>
      <c r="R41" s="14"/>
    </row>
    <row r="42" spans="2:18" x14ac:dyDescent="0.3">
      <c r="B42" s="13"/>
      <c r="C42" s="165"/>
      <c r="D42" s="165"/>
      <c r="E42" s="165"/>
      <c r="F42" s="165"/>
      <c r="G42" s="165"/>
      <c r="H42" s="165"/>
      <c r="I42" s="165"/>
      <c r="J42" s="165"/>
      <c r="K42" s="165"/>
      <c r="L42" s="165"/>
      <c r="M42" s="165"/>
      <c r="N42" s="165"/>
      <c r="O42" s="165"/>
      <c r="P42" s="165"/>
      <c r="Q42" s="165"/>
      <c r="R42" s="14"/>
    </row>
    <row r="43" spans="2:18" x14ac:dyDescent="0.3">
      <c r="B43" s="13"/>
      <c r="C43" s="165"/>
      <c r="D43" s="165"/>
      <c r="E43" s="165"/>
      <c r="F43" s="165"/>
      <c r="G43" s="165"/>
      <c r="H43" s="165"/>
      <c r="I43" s="165"/>
      <c r="J43" s="165"/>
      <c r="K43" s="165"/>
      <c r="L43" s="165"/>
      <c r="M43" s="165"/>
      <c r="N43" s="165"/>
      <c r="O43" s="165"/>
      <c r="P43" s="165"/>
      <c r="Q43" s="165"/>
      <c r="R43" s="14"/>
    </row>
    <row r="44" spans="2:18" x14ac:dyDescent="0.3">
      <c r="B44" s="13"/>
      <c r="C44" s="165"/>
      <c r="D44" s="165"/>
      <c r="E44" s="165"/>
      <c r="F44" s="165"/>
      <c r="G44" s="165"/>
      <c r="H44" s="165"/>
      <c r="I44" s="165"/>
      <c r="J44" s="165"/>
      <c r="K44" s="165"/>
      <c r="L44" s="165"/>
      <c r="M44" s="165"/>
      <c r="N44" s="165"/>
      <c r="O44" s="165"/>
      <c r="P44" s="165"/>
      <c r="Q44" s="165"/>
      <c r="R44" s="14"/>
    </row>
    <row r="45" spans="2:18" x14ac:dyDescent="0.3">
      <c r="B45" s="13"/>
      <c r="C45" s="165"/>
      <c r="D45" s="165"/>
      <c r="E45" s="165"/>
      <c r="F45" s="165"/>
      <c r="G45" s="165"/>
      <c r="H45" s="165"/>
      <c r="I45" s="165"/>
      <c r="J45" s="165"/>
      <c r="K45" s="165"/>
      <c r="L45" s="165"/>
      <c r="M45" s="165"/>
      <c r="N45" s="165"/>
      <c r="O45" s="165"/>
      <c r="P45" s="165"/>
      <c r="Q45" s="165"/>
      <c r="R45" s="14"/>
    </row>
    <row r="46" spans="2:18" x14ac:dyDescent="0.3">
      <c r="B46" s="13"/>
      <c r="C46" s="165"/>
      <c r="D46" s="165"/>
      <c r="E46" s="165"/>
      <c r="F46" s="165"/>
      <c r="G46" s="165"/>
      <c r="H46" s="165"/>
      <c r="I46" s="165"/>
      <c r="J46" s="165"/>
      <c r="K46" s="165"/>
      <c r="L46" s="165"/>
      <c r="M46" s="165"/>
      <c r="N46" s="165"/>
      <c r="O46" s="165"/>
      <c r="P46" s="165"/>
      <c r="Q46" s="165"/>
      <c r="R46" s="14"/>
    </row>
    <row r="47" spans="2:18" x14ac:dyDescent="0.3">
      <c r="B47" s="13"/>
      <c r="C47" s="165"/>
      <c r="D47" s="165"/>
      <c r="E47" s="165"/>
      <c r="F47" s="165"/>
      <c r="G47" s="165"/>
      <c r="H47" s="165"/>
      <c r="I47" s="165"/>
      <c r="J47" s="165"/>
      <c r="K47" s="165"/>
      <c r="L47" s="165"/>
      <c r="M47" s="165"/>
      <c r="N47" s="165"/>
      <c r="O47" s="165"/>
      <c r="P47" s="165"/>
      <c r="Q47" s="165"/>
      <c r="R47" s="14"/>
    </row>
    <row r="48" spans="2:18" x14ac:dyDescent="0.3">
      <c r="B48" s="13"/>
      <c r="C48" s="165"/>
      <c r="D48" s="165"/>
      <c r="E48" s="165"/>
      <c r="F48" s="165"/>
      <c r="G48" s="165"/>
      <c r="H48" s="165"/>
      <c r="I48" s="165"/>
      <c r="J48" s="165"/>
      <c r="K48" s="165"/>
      <c r="L48" s="165"/>
      <c r="M48" s="165"/>
      <c r="N48" s="165"/>
      <c r="O48" s="165"/>
      <c r="P48" s="165"/>
      <c r="Q48" s="165"/>
      <c r="R48" s="14"/>
    </row>
    <row r="49" spans="2:18" x14ac:dyDescent="0.3">
      <c r="B49" s="13"/>
      <c r="R49" s="14"/>
    </row>
    <row r="50" spans="2:18" ht="18" x14ac:dyDescent="0.35">
      <c r="B50" s="13"/>
      <c r="C50" s="25" t="s">
        <v>68</v>
      </c>
      <c r="R50" s="14"/>
    </row>
    <row r="51" spans="2:18" x14ac:dyDescent="0.3">
      <c r="B51" s="13"/>
      <c r="R51" s="14"/>
    </row>
    <row r="52" spans="2:18" ht="18" x14ac:dyDescent="0.35">
      <c r="B52" s="13"/>
      <c r="C52" s="25" t="s">
        <v>69</v>
      </c>
      <c r="R52" s="14"/>
    </row>
    <row r="53" spans="2:18" x14ac:dyDescent="0.3">
      <c r="B53" s="13"/>
      <c r="R53" s="14"/>
    </row>
    <row r="54" spans="2:18" x14ac:dyDescent="0.3">
      <c r="B54" s="13"/>
      <c r="R54" s="14"/>
    </row>
    <row r="55" spans="2:18" x14ac:dyDescent="0.3">
      <c r="B55" s="13"/>
      <c r="C55" s="158" t="s">
        <v>67</v>
      </c>
      <c r="D55" s="166"/>
      <c r="E55" s="166"/>
      <c r="F55" s="166"/>
      <c r="G55" s="166"/>
      <c r="H55" s="166"/>
      <c r="I55" s="166"/>
      <c r="J55" s="166"/>
      <c r="K55" s="166"/>
      <c r="L55" s="166"/>
      <c r="M55" s="166"/>
      <c r="N55" s="166"/>
      <c r="O55" s="166"/>
      <c r="P55" s="166"/>
      <c r="Q55" s="166"/>
      <c r="R55" s="14"/>
    </row>
    <row r="56" spans="2:18" x14ac:dyDescent="0.3">
      <c r="B56" s="13"/>
      <c r="C56" s="166"/>
      <c r="D56" s="166"/>
      <c r="E56" s="166"/>
      <c r="F56" s="166"/>
      <c r="G56" s="166"/>
      <c r="H56" s="166"/>
      <c r="I56" s="166"/>
      <c r="J56" s="166"/>
      <c r="K56" s="166"/>
      <c r="L56" s="166"/>
      <c r="M56" s="166"/>
      <c r="N56" s="166"/>
      <c r="O56" s="166"/>
      <c r="P56" s="166"/>
      <c r="Q56" s="166"/>
      <c r="R56" s="14"/>
    </row>
    <row r="57" spans="2:18" x14ac:dyDescent="0.3">
      <c r="B57" s="13"/>
      <c r="C57" s="166"/>
      <c r="D57" s="166"/>
      <c r="E57" s="166"/>
      <c r="F57" s="166"/>
      <c r="G57" s="166"/>
      <c r="H57" s="166"/>
      <c r="I57" s="166"/>
      <c r="J57" s="166"/>
      <c r="K57" s="166"/>
      <c r="L57" s="166"/>
      <c r="M57" s="166"/>
      <c r="N57" s="166"/>
      <c r="O57" s="166"/>
      <c r="P57" s="166"/>
      <c r="Q57" s="166"/>
      <c r="R57" s="14"/>
    </row>
    <row r="58" spans="2:18" x14ac:dyDescent="0.3">
      <c r="B58" s="13"/>
      <c r="C58" s="166"/>
      <c r="D58" s="166"/>
      <c r="E58" s="166"/>
      <c r="F58" s="166"/>
      <c r="G58" s="166"/>
      <c r="H58" s="166"/>
      <c r="I58" s="166"/>
      <c r="J58" s="166"/>
      <c r="K58" s="166"/>
      <c r="L58" s="166"/>
      <c r="M58" s="166"/>
      <c r="N58" s="166"/>
      <c r="O58" s="166"/>
      <c r="P58" s="166"/>
      <c r="Q58" s="166"/>
      <c r="R58" s="14"/>
    </row>
    <row r="59" spans="2:18" x14ac:dyDescent="0.3">
      <c r="B59" s="13"/>
      <c r="C59" s="166"/>
      <c r="D59" s="166"/>
      <c r="E59" s="166"/>
      <c r="F59" s="166"/>
      <c r="G59" s="166"/>
      <c r="H59" s="166"/>
      <c r="I59" s="166"/>
      <c r="J59" s="166"/>
      <c r="K59" s="166"/>
      <c r="L59" s="166"/>
      <c r="M59" s="166"/>
      <c r="N59" s="166"/>
      <c r="O59" s="166"/>
      <c r="P59" s="166"/>
      <c r="Q59" s="166"/>
      <c r="R59" s="14"/>
    </row>
    <row r="60" spans="2:18" x14ac:dyDescent="0.3">
      <c r="B60" s="13"/>
      <c r="C60" s="166"/>
      <c r="D60" s="166"/>
      <c r="E60" s="166"/>
      <c r="F60" s="166"/>
      <c r="G60" s="166"/>
      <c r="H60" s="166"/>
      <c r="I60" s="166"/>
      <c r="J60" s="166"/>
      <c r="K60" s="166"/>
      <c r="L60" s="166"/>
      <c r="M60" s="166"/>
      <c r="N60" s="166"/>
      <c r="O60" s="166"/>
      <c r="P60" s="166"/>
      <c r="Q60" s="166"/>
      <c r="R60" s="14"/>
    </row>
    <row r="61" spans="2:18" x14ac:dyDescent="0.3">
      <c r="B61" s="13"/>
      <c r="C61" s="166"/>
      <c r="D61" s="166"/>
      <c r="E61" s="166"/>
      <c r="F61" s="166"/>
      <c r="G61" s="166"/>
      <c r="H61" s="166"/>
      <c r="I61" s="166"/>
      <c r="J61" s="166"/>
      <c r="K61" s="166"/>
      <c r="L61" s="166"/>
      <c r="M61" s="166"/>
      <c r="N61" s="166"/>
      <c r="O61" s="166"/>
      <c r="P61" s="166"/>
      <c r="Q61" s="166"/>
      <c r="R61" s="14"/>
    </row>
    <row r="62" spans="2:18" x14ac:dyDescent="0.3">
      <c r="B62" s="13"/>
      <c r="C62" s="166"/>
      <c r="D62" s="166"/>
      <c r="E62" s="166"/>
      <c r="F62" s="166"/>
      <c r="G62" s="166"/>
      <c r="H62" s="166"/>
      <c r="I62" s="166"/>
      <c r="J62" s="166"/>
      <c r="K62" s="166"/>
      <c r="L62" s="166"/>
      <c r="M62" s="166"/>
      <c r="N62" s="166"/>
      <c r="O62" s="166"/>
      <c r="P62" s="166"/>
      <c r="Q62" s="166"/>
      <c r="R62" s="14"/>
    </row>
    <row r="63" spans="2:18" x14ac:dyDescent="0.3">
      <c r="B63" s="13"/>
      <c r="R63" s="14"/>
    </row>
    <row r="64" spans="2:18" x14ac:dyDescent="0.3">
      <c r="B64" s="13"/>
      <c r="R64" s="14"/>
    </row>
    <row r="65" spans="2:18" x14ac:dyDescent="0.3">
      <c r="B65" s="13"/>
      <c r="R65" s="14"/>
    </row>
    <row r="66" spans="2:18" x14ac:dyDescent="0.3">
      <c r="B66" s="13"/>
      <c r="R66" s="14"/>
    </row>
    <row r="67" spans="2:18" x14ac:dyDescent="0.3">
      <c r="B67" s="13"/>
      <c r="R67" s="14"/>
    </row>
    <row r="68" spans="2:18" ht="18" x14ac:dyDescent="0.35">
      <c r="B68" s="13"/>
      <c r="C68" s="25" t="s">
        <v>50</v>
      </c>
      <c r="R68" s="14"/>
    </row>
    <row r="69" spans="2:18" ht="18" x14ac:dyDescent="0.35">
      <c r="B69" s="13"/>
      <c r="C69" s="25"/>
      <c r="R69" s="14"/>
    </row>
    <row r="70" spans="2:18" x14ac:dyDescent="0.3">
      <c r="B70" s="13"/>
      <c r="R70" s="14"/>
    </row>
    <row r="71" spans="2:18" ht="15" thickBot="1" x14ac:dyDescent="0.35">
      <c r="B71" s="15"/>
      <c r="C71" s="16"/>
      <c r="D71" s="16"/>
      <c r="E71" s="16"/>
      <c r="F71" s="16"/>
      <c r="G71" s="16"/>
      <c r="H71" s="16"/>
      <c r="I71" s="16"/>
      <c r="J71" s="16"/>
      <c r="K71" s="16"/>
      <c r="L71" s="16"/>
      <c r="M71" s="16"/>
      <c r="N71" s="16"/>
      <c r="O71" s="16"/>
      <c r="P71" s="16"/>
      <c r="Q71" s="16"/>
      <c r="R71" s="17"/>
    </row>
  </sheetData>
  <mergeCells count="3">
    <mergeCell ref="C21:Q22"/>
    <mergeCell ref="C33:Q48"/>
    <mergeCell ref="C55:Q62"/>
  </mergeCells>
  <conditionalFormatting sqref="I24">
    <cfRule type="containsText" dxfId="4" priority="5" operator="containsText" text="FHA">
      <formula>NOT(ISERROR(SEARCH("FHA",I24)))</formula>
    </cfRule>
  </conditionalFormatting>
  <conditionalFormatting sqref="I24:K24">
    <cfRule type="containsText" dxfId="3" priority="6" operator="containsText" text="N/A">
      <formula>NOT(ISERROR(SEARCH("N/A",I24)))</formula>
    </cfRule>
  </conditionalFormatting>
  <conditionalFormatting sqref="I26:K31">
    <cfRule type="containsText" dxfId="2" priority="2" operator="containsText" text="N/A">
      <formula>NOT(ISERROR(SEARCH("N/A",I26)))</formula>
    </cfRule>
  </conditionalFormatting>
  <conditionalFormatting sqref="J24">
    <cfRule type="containsText" dxfId="1" priority="4" operator="containsText" text="Convencional Freddie Mac">
      <formula>NOT(ISERROR(SEARCH("Convencional Freddie Mac",J24)))</formula>
    </cfRule>
  </conditionalFormatting>
  <conditionalFormatting sqref="K24">
    <cfRule type="containsText" dxfId="0" priority="3" operator="containsText" text="VA">
      <formula>NOT(ISERROR(SEARCH("VA",K24)))</formula>
    </cfRule>
  </conditionalFormatting>
  <pageMargins left="0.7" right="0.7" top="0.75" bottom="0.75" header="0.3" footer="0.3"/>
  <pageSetup scale="34"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2AD19-8758-47EA-8DDD-FE587D582425}">
  <sheetPr codeName="Sheet1"/>
  <dimension ref="A1:L83"/>
  <sheetViews>
    <sheetView showGridLines="0" zoomScale="90" zoomScaleNormal="90" workbookViewId="0">
      <selection activeCell="F4" sqref="F4:F5"/>
    </sheetView>
  </sheetViews>
  <sheetFormatPr defaultRowHeight="14.4" x14ac:dyDescent="0.3"/>
  <cols>
    <col min="1" max="1" width="29.44140625" customWidth="1"/>
    <col min="2" max="2" width="14.88671875" customWidth="1"/>
    <col min="3" max="3" width="20.109375" customWidth="1"/>
    <col min="4" max="4" width="9.6640625" customWidth="1"/>
    <col min="5" max="5" width="7" customWidth="1"/>
    <col min="6" max="6" width="15.109375" customWidth="1"/>
    <col min="7" max="7" width="14.44140625" customWidth="1"/>
    <col min="8" max="8" width="17.33203125" customWidth="1"/>
    <col min="9" max="9" width="15.33203125" customWidth="1"/>
    <col min="10" max="10" width="24.6640625" customWidth="1"/>
    <col min="11" max="11" width="17.109375" customWidth="1"/>
    <col min="12" max="12" width="16.109375" customWidth="1"/>
  </cols>
  <sheetData>
    <row r="1" spans="1:12" ht="6.75" customHeight="1" x14ac:dyDescent="0.3"/>
    <row r="2" spans="1:12" x14ac:dyDescent="0.3">
      <c r="A2" s="3" t="s">
        <v>300</v>
      </c>
    </row>
    <row r="3" spans="1:12" ht="7.5" customHeight="1" x14ac:dyDescent="0.3">
      <c r="A3" s="3"/>
    </row>
    <row r="4" spans="1:12" x14ac:dyDescent="0.3">
      <c r="A4" s="167" t="s">
        <v>194</v>
      </c>
      <c r="B4" s="167" t="s">
        <v>195</v>
      </c>
      <c r="C4" s="169" t="s">
        <v>196</v>
      </c>
      <c r="D4" s="132" t="s">
        <v>197</v>
      </c>
      <c r="E4" s="169" t="s">
        <v>0</v>
      </c>
      <c r="F4" s="169" t="s">
        <v>198</v>
      </c>
      <c r="G4" s="167" t="s">
        <v>199</v>
      </c>
      <c r="H4" s="167" t="s">
        <v>200</v>
      </c>
      <c r="I4" s="167" t="s">
        <v>201</v>
      </c>
      <c r="J4" s="167" t="s">
        <v>202</v>
      </c>
      <c r="K4" s="167" t="s">
        <v>203</v>
      </c>
      <c r="L4" s="167" t="s">
        <v>204</v>
      </c>
    </row>
    <row r="5" spans="1:12" x14ac:dyDescent="0.3">
      <c r="A5" s="168"/>
      <c r="B5" s="168"/>
      <c r="C5" s="170"/>
      <c r="D5" s="133" t="s">
        <v>205</v>
      </c>
      <c r="E5" s="170"/>
      <c r="F5" s="170"/>
      <c r="G5" s="168"/>
      <c r="H5" s="168"/>
      <c r="I5" s="168"/>
      <c r="J5" s="168"/>
      <c r="K5" s="168"/>
      <c r="L5" s="168"/>
    </row>
    <row r="6" spans="1:12" x14ac:dyDescent="0.3">
      <c r="A6" s="114" t="s">
        <v>206</v>
      </c>
      <c r="B6" s="117">
        <v>38660</v>
      </c>
      <c r="C6" s="117" t="s">
        <v>207</v>
      </c>
      <c r="D6" s="117">
        <v>1</v>
      </c>
      <c r="E6" s="117" t="s">
        <v>208</v>
      </c>
      <c r="F6" s="115">
        <v>498257</v>
      </c>
      <c r="G6" s="115">
        <v>637950</v>
      </c>
      <c r="H6" s="115">
        <v>771125</v>
      </c>
      <c r="I6" s="115">
        <v>958350</v>
      </c>
      <c r="J6" s="116">
        <v>161000</v>
      </c>
      <c r="K6" s="118">
        <v>45292</v>
      </c>
      <c r="L6" s="119" t="s">
        <v>209</v>
      </c>
    </row>
    <row r="7" spans="1:12" x14ac:dyDescent="0.3">
      <c r="A7" s="114" t="s">
        <v>210</v>
      </c>
      <c r="B7" s="117">
        <v>10380</v>
      </c>
      <c r="C7" s="117" t="s">
        <v>211</v>
      </c>
      <c r="D7" s="117">
        <v>3</v>
      </c>
      <c r="E7" s="117" t="s">
        <v>208</v>
      </c>
      <c r="F7" s="115">
        <v>498257</v>
      </c>
      <c r="G7" s="115">
        <v>637950</v>
      </c>
      <c r="H7" s="115">
        <v>771125</v>
      </c>
      <c r="I7" s="115">
        <v>958350</v>
      </c>
      <c r="J7" s="116">
        <v>290000</v>
      </c>
      <c r="K7" s="118">
        <v>45292</v>
      </c>
      <c r="L7" s="119" t="s">
        <v>209</v>
      </c>
    </row>
    <row r="8" spans="1:12" x14ac:dyDescent="0.3">
      <c r="A8" s="114" t="s">
        <v>210</v>
      </c>
      <c r="B8" s="117">
        <v>10380</v>
      </c>
      <c r="C8" s="117" t="s">
        <v>212</v>
      </c>
      <c r="D8" s="117">
        <v>5</v>
      </c>
      <c r="E8" s="117" t="s">
        <v>208</v>
      </c>
      <c r="F8" s="115">
        <v>498257</v>
      </c>
      <c r="G8" s="115">
        <v>637950</v>
      </c>
      <c r="H8" s="115">
        <v>771125</v>
      </c>
      <c r="I8" s="115">
        <v>958350</v>
      </c>
      <c r="J8" s="116">
        <v>290000</v>
      </c>
      <c r="K8" s="118">
        <v>45292</v>
      </c>
      <c r="L8" s="119" t="s">
        <v>209</v>
      </c>
    </row>
    <row r="9" spans="1:12" ht="27.6" x14ac:dyDescent="0.3">
      <c r="A9" s="114" t="s">
        <v>213</v>
      </c>
      <c r="B9" s="117">
        <v>41980</v>
      </c>
      <c r="C9" s="117" t="s">
        <v>214</v>
      </c>
      <c r="D9" s="117">
        <v>7</v>
      </c>
      <c r="E9" s="117" t="s">
        <v>208</v>
      </c>
      <c r="F9" s="115">
        <v>498257</v>
      </c>
      <c r="G9" s="115">
        <v>637950</v>
      </c>
      <c r="H9" s="115">
        <v>771125</v>
      </c>
      <c r="I9" s="115">
        <v>958350</v>
      </c>
      <c r="J9" s="116">
        <v>259000</v>
      </c>
      <c r="K9" s="118">
        <v>45292</v>
      </c>
      <c r="L9" s="119" t="s">
        <v>209</v>
      </c>
    </row>
    <row r="10" spans="1:12" ht="27.6" x14ac:dyDescent="0.3">
      <c r="A10" s="114" t="s">
        <v>213</v>
      </c>
      <c r="B10" s="117">
        <v>41980</v>
      </c>
      <c r="C10" s="117" t="s">
        <v>215</v>
      </c>
      <c r="D10" s="117">
        <v>9</v>
      </c>
      <c r="E10" s="117" t="s">
        <v>208</v>
      </c>
      <c r="F10" s="115">
        <v>498257</v>
      </c>
      <c r="G10" s="115">
        <v>637950</v>
      </c>
      <c r="H10" s="115">
        <v>771125</v>
      </c>
      <c r="I10" s="115">
        <v>958350</v>
      </c>
      <c r="J10" s="116">
        <v>259000</v>
      </c>
      <c r="K10" s="118">
        <v>45292</v>
      </c>
      <c r="L10" s="119" t="s">
        <v>209</v>
      </c>
    </row>
    <row r="11" spans="1:12" x14ac:dyDescent="0.3">
      <c r="A11" s="114" t="s">
        <v>210</v>
      </c>
      <c r="B11" s="117">
        <v>10380</v>
      </c>
      <c r="C11" s="117" t="s">
        <v>216</v>
      </c>
      <c r="D11" s="117">
        <v>11</v>
      </c>
      <c r="E11" s="117" t="s">
        <v>208</v>
      </c>
      <c r="F11" s="115">
        <v>498257</v>
      </c>
      <c r="G11" s="115">
        <v>637950</v>
      </c>
      <c r="H11" s="115">
        <v>771125</v>
      </c>
      <c r="I11" s="115">
        <v>958350</v>
      </c>
      <c r="J11" s="116">
        <v>290000</v>
      </c>
      <c r="K11" s="118">
        <v>45292</v>
      </c>
      <c r="L11" s="119" t="s">
        <v>209</v>
      </c>
    </row>
    <row r="12" spans="1:12" x14ac:dyDescent="0.3">
      <c r="A12" s="114" t="s">
        <v>217</v>
      </c>
      <c r="B12" s="117">
        <v>11640</v>
      </c>
      <c r="C12" s="117" t="s">
        <v>218</v>
      </c>
      <c r="D12" s="117">
        <v>13</v>
      </c>
      <c r="E12" s="117" t="s">
        <v>208</v>
      </c>
      <c r="F12" s="115">
        <v>498257</v>
      </c>
      <c r="G12" s="115">
        <v>637950</v>
      </c>
      <c r="H12" s="115">
        <v>771125</v>
      </c>
      <c r="I12" s="115">
        <v>958350</v>
      </c>
      <c r="J12" s="116">
        <v>168000</v>
      </c>
      <c r="K12" s="118">
        <v>45292</v>
      </c>
      <c r="L12" s="119" t="s">
        <v>209</v>
      </c>
    </row>
    <row r="13" spans="1:12" x14ac:dyDescent="0.3">
      <c r="A13" s="114" t="s">
        <v>219</v>
      </c>
      <c r="B13" s="117">
        <v>25020</v>
      </c>
      <c r="C13" s="117" t="s">
        <v>220</v>
      </c>
      <c r="D13" s="117">
        <v>15</v>
      </c>
      <c r="E13" s="117" t="s">
        <v>208</v>
      </c>
      <c r="F13" s="115">
        <v>498257</v>
      </c>
      <c r="G13" s="115">
        <v>637950</v>
      </c>
      <c r="H13" s="115">
        <v>771125</v>
      </c>
      <c r="I13" s="115">
        <v>958350</v>
      </c>
      <c r="J13" s="116">
        <v>143000</v>
      </c>
      <c r="K13" s="118">
        <v>45292</v>
      </c>
      <c r="L13" s="119" t="s">
        <v>209</v>
      </c>
    </row>
    <row r="14" spans="1:12" ht="27.6" x14ac:dyDescent="0.3">
      <c r="A14" s="114" t="s">
        <v>213</v>
      </c>
      <c r="B14" s="117">
        <v>41980</v>
      </c>
      <c r="C14" s="117" t="s">
        <v>221</v>
      </c>
      <c r="D14" s="117">
        <v>17</v>
      </c>
      <c r="E14" s="117" t="s">
        <v>208</v>
      </c>
      <c r="F14" s="115">
        <v>498257</v>
      </c>
      <c r="G14" s="115">
        <v>637950</v>
      </c>
      <c r="H14" s="115">
        <v>771125</v>
      </c>
      <c r="I14" s="115">
        <v>958350</v>
      </c>
      <c r="J14" s="116">
        <v>259000</v>
      </c>
      <c r="K14" s="118">
        <v>45292</v>
      </c>
      <c r="L14" s="119" t="s">
        <v>209</v>
      </c>
    </row>
    <row r="15" spans="1:12" ht="27.6" x14ac:dyDescent="0.3">
      <c r="A15" s="114" t="s">
        <v>213</v>
      </c>
      <c r="B15" s="117">
        <v>41980</v>
      </c>
      <c r="C15" s="117" t="s">
        <v>222</v>
      </c>
      <c r="D15" s="117">
        <v>19</v>
      </c>
      <c r="E15" s="117" t="s">
        <v>208</v>
      </c>
      <c r="F15" s="115">
        <v>498257</v>
      </c>
      <c r="G15" s="115">
        <v>637950</v>
      </c>
      <c r="H15" s="115">
        <v>771125</v>
      </c>
      <c r="I15" s="115">
        <v>958350</v>
      </c>
      <c r="J15" s="116">
        <v>259000</v>
      </c>
      <c r="K15" s="118">
        <v>45292</v>
      </c>
      <c r="L15" s="119" t="s">
        <v>209</v>
      </c>
    </row>
    <row r="16" spans="1:12" ht="27.6" x14ac:dyDescent="0.3">
      <c r="A16" s="114" t="s">
        <v>213</v>
      </c>
      <c r="B16" s="117">
        <v>41980</v>
      </c>
      <c r="C16" s="117" t="s">
        <v>223</v>
      </c>
      <c r="D16" s="117">
        <v>21</v>
      </c>
      <c r="E16" s="117" t="s">
        <v>208</v>
      </c>
      <c r="F16" s="115">
        <v>498257</v>
      </c>
      <c r="G16" s="115">
        <v>637950</v>
      </c>
      <c r="H16" s="115">
        <v>771125</v>
      </c>
      <c r="I16" s="115">
        <v>958350</v>
      </c>
      <c r="J16" s="116">
        <v>259000</v>
      </c>
      <c r="K16" s="118">
        <v>45292</v>
      </c>
      <c r="L16" s="119" t="s">
        <v>209</v>
      </c>
    </row>
    <row r="17" spans="1:12" x14ac:dyDescent="0.3">
      <c r="A17" s="114" t="s">
        <v>224</v>
      </c>
      <c r="B17" s="117">
        <v>41900</v>
      </c>
      <c r="C17" s="117" t="s">
        <v>225</v>
      </c>
      <c r="D17" s="117">
        <v>23</v>
      </c>
      <c r="E17" s="117" t="s">
        <v>208</v>
      </c>
      <c r="F17" s="115">
        <v>498257</v>
      </c>
      <c r="G17" s="115">
        <v>637950</v>
      </c>
      <c r="H17" s="115">
        <v>771125</v>
      </c>
      <c r="I17" s="115">
        <v>958350</v>
      </c>
      <c r="J17" s="116">
        <v>169000</v>
      </c>
      <c r="K17" s="118">
        <v>45292</v>
      </c>
      <c r="L17" s="119" t="s">
        <v>209</v>
      </c>
    </row>
    <row r="18" spans="1:12" ht="27.6" x14ac:dyDescent="0.3">
      <c r="A18" s="114" t="s">
        <v>213</v>
      </c>
      <c r="B18" s="117">
        <v>41980</v>
      </c>
      <c r="C18" s="117" t="s">
        <v>226</v>
      </c>
      <c r="D18" s="117">
        <v>25</v>
      </c>
      <c r="E18" s="117" t="s">
        <v>208</v>
      </c>
      <c r="F18" s="115">
        <v>498257</v>
      </c>
      <c r="G18" s="115">
        <v>637950</v>
      </c>
      <c r="H18" s="115">
        <v>771125</v>
      </c>
      <c r="I18" s="115">
        <v>958350</v>
      </c>
      <c r="J18" s="116">
        <v>259000</v>
      </c>
      <c r="K18" s="118">
        <v>45292</v>
      </c>
      <c r="L18" s="119" t="s">
        <v>209</v>
      </c>
    </row>
    <row r="19" spans="1:12" x14ac:dyDescent="0.3">
      <c r="A19" s="114" t="s">
        <v>217</v>
      </c>
      <c r="B19" s="117">
        <v>11640</v>
      </c>
      <c r="C19" s="117" t="s">
        <v>227</v>
      </c>
      <c r="D19" s="117">
        <v>27</v>
      </c>
      <c r="E19" s="117" t="s">
        <v>208</v>
      </c>
      <c r="F19" s="115">
        <v>498257</v>
      </c>
      <c r="G19" s="115">
        <v>637950</v>
      </c>
      <c r="H19" s="115">
        <v>771125</v>
      </c>
      <c r="I19" s="115">
        <v>958350</v>
      </c>
      <c r="J19" s="116">
        <v>168000</v>
      </c>
      <c r="K19" s="118">
        <v>45292</v>
      </c>
      <c r="L19" s="119" t="s">
        <v>209</v>
      </c>
    </row>
    <row r="20" spans="1:12" ht="27.6" x14ac:dyDescent="0.3">
      <c r="A20" s="114" t="s">
        <v>213</v>
      </c>
      <c r="B20" s="117">
        <v>41980</v>
      </c>
      <c r="C20" s="117" t="s">
        <v>228</v>
      </c>
      <c r="D20" s="117">
        <v>29</v>
      </c>
      <c r="E20" s="117" t="s">
        <v>208</v>
      </c>
      <c r="F20" s="115">
        <v>498257</v>
      </c>
      <c r="G20" s="115">
        <v>637950</v>
      </c>
      <c r="H20" s="115">
        <v>771125</v>
      </c>
      <c r="I20" s="115">
        <v>958350</v>
      </c>
      <c r="J20" s="116">
        <v>259000</v>
      </c>
      <c r="K20" s="118">
        <v>45292</v>
      </c>
      <c r="L20" s="119" t="s">
        <v>209</v>
      </c>
    </row>
    <row r="21" spans="1:12" ht="27.6" x14ac:dyDescent="0.3">
      <c r="A21" s="114" t="s">
        <v>213</v>
      </c>
      <c r="B21" s="117">
        <v>41980</v>
      </c>
      <c r="C21" s="117" t="s">
        <v>229</v>
      </c>
      <c r="D21" s="117">
        <v>31</v>
      </c>
      <c r="E21" s="117" t="s">
        <v>208</v>
      </c>
      <c r="F21" s="115">
        <v>498257</v>
      </c>
      <c r="G21" s="115">
        <v>637950</v>
      </c>
      <c r="H21" s="115">
        <v>771125</v>
      </c>
      <c r="I21" s="115">
        <v>958350</v>
      </c>
      <c r="J21" s="116">
        <v>259000</v>
      </c>
      <c r="K21" s="118">
        <v>45292</v>
      </c>
      <c r="L21" s="119" t="s">
        <v>209</v>
      </c>
    </row>
    <row r="22" spans="1:12" ht="27.6" x14ac:dyDescent="0.3">
      <c r="A22" s="114" t="s">
        <v>213</v>
      </c>
      <c r="B22" s="117">
        <v>41980</v>
      </c>
      <c r="C22" s="117" t="s">
        <v>230</v>
      </c>
      <c r="D22" s="117">
        <v>33</v>
      </c>
      <c r="E22" s="117" t="s">
        <v>208</v>
      </c>
      <c r="F22" s="115">
        <v>498257</v>
      </c>
      <c r="G22" s="115">
        <v>637950</v>
      </c>
      <c r="H22" s="115">
        <v>771125</v>
      </c>
      <c r="I22" s="115">
        <v>958350</v>
      </c>
      <c r="J22" s="116">
        <v>259000</v>
      </c>
      <c r="K22" s="118">
        <v>45292</v>
      </c>
      <c r="L22" s="119" t="s">
        <v>209</v>
      </c>
    </row>
    <row r="23" spans="1:12" ht="27.6" x14ac:dyDescent="0.3">
      <c r="A23" s="114" t="s">
        <v>213</v>
      </c>
      <c r="B23" s="117">
        <v>41980</v>
      </c>
      <c r="C23" s="117" t="s">
        <v>231</v>
      </c>
      <c r="D23" s="117">
        <v>35</v>
      </c>
      <c r="E23" s="117" t="s">
        <v>208</v>
      </c>
      <c r="F23" s="115">
        <v>498257</v>
      </c>
      <c r="G23" s="115">
        <v>637950</v>
      </c>
      <c r="H23" s="115">
        <v>771125</v>
      </c>
      <c r="I23" s="115">
        <v>958350</v>
      </c>
      <c r="J23" s="116">
        <v>259000</v>
      </c>
      <c r="K23" s="118">
        <v>45292</v>
      </c>
      <c r="L23" s="119" t="s">
        <v>209</v>
      </c>
    </row>
    <row r="24" spans="1:12" ht="27.6" x14ac:dyDescent="0.3">
      <c r="A24" s="114" t="s">
        <v>213</v>
      </c>
      <c r="B24" s="117">
        <v>41980</v>
      </c>
      <c r="C24" s="117" t="s">
        <v>232</v>
      </c>
      <c r="D24" s="117">
        <v>37</v>
      </c>
      <c r="E24" s="117" t="s">
        <v>208</v>
      </c>
      <c r="F24" s="115">
        <v>498257</v>
      </c>
      <c r="G24" s="115">
        <v>637950</v>
      </c>
      <c r="H24" s="115">
        <v>771125</v>
      </c>
      <c r="I24" s="115">
        <v>958350</v>
      </c>
      <c r="J24" s="116">
        <v>259000</v>
      </c>
      <c r="K24" s="118">
        <v>45292</v>
      </c>
      <c r="L24" s="119" t="s">
        <v>209</v>
      </c>
    </row>
    <row r="25" spans="1:12" ht="27.6" x14ac:dyDescent="0.3">
      <c r="A25" s="114" t="s">
        <v>213</v>
      </c>
      <c r="B25" s="117">
        <v>41980</v>
      </c>
      <c r="C25" s="117" t="s">
        <v>233</v>
      </c>
      <c r="D25" s="117">
        <v>39</v>
      </c>
      <c r="E25" s="117" t="s">
        <v>208</v>
      </c>
      <c r="F25" s="115">
        <v>498257</v>
      </c>
      <c r="G25" s="115">
        <v>637950</v>
      </c>
      <c r="H25" s="115">
        <v>771125</v>
      </c>
      <c r="I25" s="115">
        <v>958350</v>
      </c>
      <c r="J25" s="116">
        <v>259000</v>
      </c>
      <c r="K25" s="118">
        <v>45292</v>
      </c>
      <c r="L25" s="119" t="s">
        <v>209</v>
      </c>
    </row>
    <row r="26" spans="1:12" ht="27.6" x14ac:dyDescent="0.3">
      <c r="A26" s="114" t="s">
        <v>213</v>
      </c>
      <c r="B26" s="117">
        <v>41980</v>
      </c>
      <c r="C26" s="117" t="s">
        <v>234</v>
      </c>
      <c r="D26" s="117">
        <v>41</v>
      </c>
      <c r="E26" s="117" t="s">
        <v>208</v>
      </c>
      <c r="F26" s="115">
        <v>498257</v>
      </c>
      <c r="G26" s="115">
        <v>637950</v>
      </c>
      <c r="H26" s="115">
        <v>771125</v>
      </c>
      <c r="I26" s="115">
        <v>958350</v>
      </c>
      <c r="J26" s="116">
        <v>259000</v>
      </c>
      <c r="K26" s="118">
        <v>45292</v>
      </c>
      <c r="L26" s="119" t="s">
        <v>209</v>
      </c>
    </row>
    <row r="27" spans="1:12" x14ac:dyDescent="0.3">
      <c r="A27" s="114" t="s">
        <v>235</v>
      </c>
      <c r="B27" s="117">
        <v>17620</v>
      </c>
      <c r="C27" s="117" t="s">
        <v>236</v>
      </c>
      <c r="D27" s="117">
        <v>43</v>
      </c>
      <c r="E27" s="117" t="s">
        <v>208</v>
      </c>
      <c r="F27" s="115">
        <v>498257</v>
      </c>
      <c r="G27" s="115">
        <v>637950</v>
      </c>
      <c r="H27" s="115">
        <v>771125</v>
      </c>
      <c r="I27" s="115">
        <v>958350</v>
      </c>
      <c r="J27" s="116">
        <v>128000</v>
      </c>
      <c r="K27" s="118">
        <v>45292</v>
      </c>
      <c r="L27" s="119" t="s">
        <v>209</v>
      </c>
    </row>
    <row r="28" spans="1:12" ht="27.6" x14ac:dyDescent="0.3">
      <c r="A28" s="114" t="s">
        <v>213</v>
      </c>
      <c r="B28" s="117">
        <v>41980</v>
      </c>
      <c r="C28" s="117" t="s">
        <v>237</v>
      </c>
      <c r="D28" s="117">
        <v>45</v>
      </c>
      <c r="E28" s="117" t="s">
        <v>208</v>
      </c>
      <c r="F28" s="115">
        <v>498257</v>
      </c>
      <c r="G28" s="115">
        <v>637950</v>
      </c>
      <c r="H28" s="115">
        <v>771125</v>
      </c>
      <c r="I28" s="115">
        <v>958350</v>
      </c>
      <c r="J28" s="116">
        <v>259000</v>
      </c>
      <c r="K28" s="118">
        <v>45292</v>
      </c>
      <c r="L28" s="119" t="s">
        <v>209</v>
      </c>
    </row>
    <row r="29" spans="1:12" ht="27.6" x14ac:dyDescent="0.3">
      <c r="A29" s="114" t="s">
        <v>213</v>
      </c>
      <c r="B29" s="117">
        <v>41980</v>
      </c>
      <c r="C29" s="117" t="s">
        <v>238</v>
      </c>
      <c r="D29" s="117">
        <v>47</v>
      </c>
      <c r="E29" s="117" t="s">
        <v>208</v>
      </c>
      <c r="F29" s="115">
        <v>498257</v>
      </c>
      <c r="G29" s="115">
        <v>637950</v>
      </c>
      <c r="H29" s="115">
        <v>771125</v>
      </c>
      <c r="I29" s="115">
        <v>958350</v>
      </c>
      <c r="J29" s="116">
        <v>259000</v>
      </c>
      <c r="K29" s="118">
        <v>45292</v>
      </c>
      <c r="L29" s="119" t="s">
        <v>209</v>
      </c>
    </row>
    <row r="30" spans="1:12" x14ac:dyDescent="0.3">
      <c r="A30" s="114" t="s">
        <v>239</v>
      </c>
      <c r="B30" s="117">
        <v>99999</v>
      </c>
      <c r="C30" s="117" t="s">
        <v>240</v>
      </c>
      <c r="D30" s="117">
        <v>49</v>
      </c>
      <c r="E30" s="117" t="s">
        <v>208</v>
      </c>
      <c r="F30" s="115">
        <v>532450</v>
      </c>
      <c r="G30" s="115">
        <v>681650</v>
      </c>
      <c r="H30" s="115">
        <v>823950</v>
      </c>
      <c r="I30" s="115">
        <v>1023950</v>
      </c>
      <c r="J30" s="116">
        <v>229000</v>
      </c>
      <c r="K30" s="118">
        <v>44562</v>
      </c>
      <c r="L30" s="119" t="s">
        <v>209</v>
      </c>
    </row>
    <row r="31" spans="1:12" ht="27.6" x14ac:dyDescent="0.3">
      <c r="A31" s="114" t="s">
        <v>213</v>
      </c>
      <c r="B31" s="117">
        <v>41980</v>
      </c>
      <c r="C31" s="117" t="s">
        <v>241</v>
      </c>
      <c r="D31" s="117">
        <v>51</v>
      </c>
      <c r="E31" s="117" t="s">
        <v>208</v>
      </c>
      <c r="F31" s="115">
        <v>498257</v>
      </c>
      <c r="G31" s="115">
        <v>637950</v>
      </c>
      <c r="H31" s="115">
        <v>771125</v>
      </c>
      <c r="I31" s="115">
        <v>958350</v>
      </c>
      <c r="J31" s="116">
        <v>259000</v>
      </c>
      <c r="K31" s="118">
        <v>45292</v>
      </c>
      <c r="L31" s="119" t="s">
        <v>209</v>
      </c>
    </row>
    <row r="32" spans="1:12" ht="27.6" x14ac:dyDescent="0.3">
      <c r="A32" s="114" t="s">
        <v>213</v>
      </c>
      <c r="B32" s="117">
        <v>41980</v>
      </c>
      <c r="C32" s="117" t="s">
        <v>242</v>
      </c>
      <c r="D32" s="117">
        <v>53</v>
      </c>
      <c r="E32" s="117" t="s">
        <v>208</v>
      </c>
      <c r="F32" s="115">
        <v>498257</v>
      </c>
      <c r="G32" s="115">
        <v>637950</v>
      </c>
      <c r="H32" s="115">
        <v>771125</v>
      </c>
      <c r="I32" s="115">
        <v>958350</v>
      </c>
      <c r="J32" s="116">
        <v>259000</v>
      </c>
      <c r="K32" s="118">
        <v>45292</v>
      </c>
      <c r="L32" s="119" t="s">
        <v>209</v>
      </c>
    </row>
    <row r="33" spans="1:12" ht="27.6" x14ac:dyDescent="0.3">
      <c r="A33" s="114" t="s">
        <v>213</v>
      </c>
      <c r="B33" s="117">
        <v>41980</v>
      </c>
      <c r="C33" s="117" t="s">
        <v>243</v>
      </c>
      <c r="D33" s="117">
        <v>54</v>
      </c>
      <c r="E33" s="117" t="s">
        <v>208</v>
      </c>
      <c r="F33" s="115">
        <v>498257</v>
      </c>
      <c r="G33" s="115">
        <v>637950</v>
      </c>
      <c r="H33" s="115">
        <v>771125</v>
      </c>
      <c r="I33" s="115">
        <v>958350</v>
      </c>
      <c r="J33" s="116">
        <v>259000</v>
      </c>
      <c r="K33" s="118">
        <v>45292</v>
      </c>
      <c r="L33" s="119" t="s">
        <v>209</v>
      </c>
    </row>
    <row r="34" spans="1:12" x14ac:dyDescent="0.3">
      <c r="A34" s="114" t="s">
        <v>244</v>
      </c>
      <c r="B34" s="117">
        <v>49500</v>
      </c>
      <c r="C34" s="117" t="s">
        <v>245</v>
      </c>
      <c r="D34" s="117">
        <v>55</v>
      </c>
      <c r="E34" s="117" t="s">
        <v>208</v>
      </c>
      <c r="F34" s="115">
        <v>498257</v>
      </c>
      <c r="G34" s="115">
        <v>637950</v>
      </c>
      <c r="H34" s="115">
        <v>771125</v>
      </c>
      <c r="I34" s="115">
        <v>958350</v>
      </c>
      <c r="J34" s="116">
        <v>147000</v>
      </c>
      <c r="K34" s="118">
        <v>45292</v>
      </c>
      <c r="L34" s="119" t="s">
        <v>209</v>
      </c>
    </row>
    <row r="35" spans="1:12" x14ac:dyDescent="0.3">
      <c r="A35" s="114" t="s">
        <v>219</v>
      </c>
      <c r="B35" s="117">
        <v>25020</v>
      </c>
      <c r="C35" s="117" t="s">
        <v>246</v>
      </c>
      <c r="D35" s="117">
        <v>57</v>
      </c>
      <c r="E35" s="117" t="s">
        <v>208</v>
      </c>
      <c r="F35" s="115">
        <v>498257</v>
      </c>
      <c r="G35" s="115">
        <v>637950</v>
      </c>
      <c r="H35" s="115">
        <v>771125</v>
      </c>
      <c r="I35" s="115">
        <v>958350</v>
      </c>
      <c r="J35" s="116">
        <v>143000</v>
      </c>
      <c r="K35" s="118">
        <v>45292</v>
      </c>
      <c r="L35" s="119" t="s">
        <v>209</v>
      </c>
    </row>
    <row r="36" spans="1:12" x14ac:dyDescent="0.3">
      <c r="A36" s="114" t="s">
        <v>244</v>
      </c>
      <c r="B36" s="117">
        <v>49500</v>
      </c>
      <c r="C36" s="117" t="s">
        <v>247</v>
      </c>
      <c r="D36" s="117">
        <v>59</v>
      </c>
      <c r="E36" s="117" t="s">
        <v>208</v>
      </c>
      <c r="F36" s="115">
        <v>498257</v>
      </c>
      <c r="G36" s="115">
        <v>637950</v>
      </c>
      <c r="H36" s="115">
        <v>771125</v>
      </c>
      <c r="I36" s="115">
        <v>958350</v>
      </c>
      <c r="J36" s="116">
        <v>147000</v>
      </c>
      <c r="K36" s="118">
        <v>45292</v>
      </c>
      <c r="L36" s="119" t="s">
        <v>209</v>
      </c>
    </row>
    <row r="37" spans="1:12" ht="27.6" x14ac:dyDescent="0.3">
      <c r="A37" s="114" t="s">
        <v>213</v>
      </c>
      <c r="B37" s="117">
        <v>41980</v>
      </c>
      <c r="C37" s="117" t="s">
        <v>248</v>
      </c>
      <c r="D37" s="117">
        <v>61</v>
      </c>
      <c r="E37" s="117" t="s">
        <v>208</v>
      </c>
      <c r="F37" s="115">
        <v>498257</v>
      </c>
      <c r="G37" s="115">
        <v>637950</v>
      </c>
      <c r="H37" s="115">
        <v>771125</v>
      </c>
      <c r="I37" s="115">
        <v>958350</v>
      </c>
      <c r="J37" s="116">
        <v>259000</v>
      </c>
      <c r="K37" s="118">
        <v>45292</v>
      </c>
      <c r="L37" s="119" t="s">
        <v>209</v>
      </c>
    </row>
    <row r="38" spans="1:12" ht="27.6" x14ac:dyDescent="0.3">
      <c r="A38" s="114" t="s">
        <v>213</v>
      </c>
      <c r="B38" s="117">
        <v>41980</v>
      </c>
      <c r="C38" s="117" t="s">
        <v>249</v>
      </c>
      <c r="D38" s="117">
        <v>63</v>
      </c>
      <c r="E38" s="117" t="s">
        <v>208</v>
      </c>
      <c r="F38" s="115">
        <v>498257</v>
      </c>
      <c r="G38" s="115">
        <v>637950</v>
      </c>
      <c r="H38" s="115">
        <v>771125</v>
      </c>
      <c r="I38" s="115">
        <v>958350</v>
      </c>
      <c r="J38" s="116">
        <v>259000</v>
      </c>
      <c r="K38" s="118">
        <v>45292</v>
      </c>
      <c r="L38" s="119" t="s">
        <v>209</v>
      </c>
    </row>
    <row r="39" spans="1:12" x14ac:dyDescent="0.3">
      <c r="A39" s="114" t="s">
        <v>217</v>
      </c>
      <c r="B39" s="117">
        <v>11640</v>
      </c>
      <c r="C39" s="117" t="s">
        <v>250</v>
      </c>
      <c r="D39" s="117">
        <v>65</v>
      </c>
      <c r="E39" s="117" t="s">
        <v>208</v>
      </c>
      <c r="F39" s="115">
        <v>498257</v>
      </c>
      <c r="G39" s="115">
        <v>637950</v>
      </c>
      <c r="H39" s="115">
        <v>771125</v>
      </c>
      <c r="I39" s="115">
        <v>958350</v>
      </c>
      <c r="J39" s="116">
        <v>168000</v>
      </c>
      <c r="K39" s="118">
        <v>45292</v>
      </c>
      <c r="L39" s="119" t="s">
        <v>209</v>
      </c>
    </row>
    <row r="40" spans="1:12" x14ac:dyDescent="0.3">
      <c r="A40" s="114" t="s">
        <v>251</v>
      </c>
      <c r="B40" s="117">
        <v>32420</v>
      </c>
      <c r="C40" s="117" t="s">
        <v>252</v>
      </c>
      <c r="D40" s="117">
        <v>67</v>
      </c>
      <c r="E40" s="117" t="s">
        <v>208</v>
      </c>
      <c r="F40" s="115">
        <v>498257</v>
      </c>
      <c r="G40" s="115">
        <v>637950</v>
      </c>
      <c r="H40" s="115">
        <v>771125</v>
      </c>
      <c r="I40" s="115">
        <v>958350</v>
      </c>
      <c r="J40" s="116">
        <v>168000</v>
      </c>
      <c r="K40" s="118">
        <v>45292</v>
      </c>
      <c r="L40" s="119" t="s">
        <v>209</v>
      </c>
    </row>
    <row r="41" spans="1:12" ht="27.6" x14ac:dyDescent="0.3">
      <c r="A41" s="114" t="s">
        <v>213</v>
      </c>
      <c r="B41" s="117">
        <v>41980</v>
      </c>
      <c r="C41" s="117" t="s">
        <v>253</v>
      </c>
      <c r="D41" s="117">
        <v>69</v>
      </c>
      <c r="E41" s="117" t="s">
        <v>208</v>
      </c>
      <c r="F41" s="115">
        <v>498257</v>
      </c>
      <c r="G41" s="115">
        <v>637950</v>
      </c>
      <c r="H41" s="115">
        <v>771125</v>
      </c>
      <c r="I41" s="115">
        <v>958350</v>
      </c>
      <c r="J41" s="116">
        <v>259000</v>
      </c>
      <c r="K41" s="118">
        <v>45292</v>
      </c>
      <c r="L41" s="119" t="s">
        <v>209</v>
      </c>
    </row>
    <row r="42" spans="1:12" x14ac:dyDescent="0.3">
      <c r="A42" s="114" t="s">
        <v>210</v>
      </c>
      <c r="B42" s="117">
        <v>10380</v>
      </c>
      <c r="C42" s="117" t="s">
        <v>254</v>
      </c>
      <c r="D42" s="117">
        <v>71</v>
      </c>
      <c r="E42" s="117" t="s">
        <v>208</v>
      </c>
      <c r="F42" s="115">
        <v>498257</v>
      </c>
      <c r="G42" s="115">
        <v>637950</v>
      </c>
      <c r="H42" s="115">
        <v>771125</v>
      </c>
      <c r="I42" s="115">
        <v>958350</v>
      </c>
      <c r="J42" s="116">
        <v>290000</v>
      </c>
      <c r="K42" s="118">
        <v>45292</v>
      </c>
      <c r="L42" s="119" t="s">
        <v>209</v>
      </c>
    </row>
    <row r="43" spans="1:12" x14ac:dyDescent="0.3">
      <c r="A43" s="114" t="s">
        <v>255</v>
      </c>
      <c r="B43" s="117">
        <v>27580</v>
      </c>
      <c r="C43" s="117" t="s">
        <v>256</v>
      </c>
      <c r="D43" s="117">
        <v>73</v>
      </c>
      <c r="E43" s="117" t="s">
        <v>208</v>
      </c>
      <c r="F43" s="115">
        <v>498257</v>
      </c>
      <c r="G43" s="115">
        <v>637950</v>
      </c>
      <c r="H43" s="115">
        <v>771125</v>
      </c>
      <c r="I43" s="115">
        <v>958350</v>
      </c>
      <c r="J43" s="116">
        <v>156000</v>
      </c>
      <c r="K43" s="118">
        <v>45292</v>
      </c>
      <c r="L43" s="119" t="s">
        <v>209</v>
      </c>
    </row>
    <row r="44" spans="1:12" x14ac:dyDescent="0.3">
      <c r="A44" s="114" t="s">
        <v>206</v>
      </c>
      <c r="B44" s="117">
        <v>38660</v>
      </c>
      <c r="C44" s="117" t="s">
        <v>257</v>
      </c>
      <c r="D44" s="117">
        <v>75</v>
      </c>
      <c r="E44" s="117" t="s">
        <v>208</v>
      </c>
      <c r="F44" s="115">
        <v>498257</v>
      </c>
      <c r="G44" s="115">
        <v>637950</v>
      </c>
      <c r="H44" s="115">
        <v>771125</v>
      </c>
      <c r="I44" s="115">
        <v>958350</v>
      </c>
      <c r="J44" s="116">
        <v>161000</v>
      </c>
      <c r="K44" s="118">
        <v>45292</v>
      </c>
      <c r="L44" s="119" t="s">
        <v>209</v>
      </c>
    </row>
    <row r="45" spans="1:12" ht="27.6" x14ac:dyDescent="0.3">
      <c r="A45" s="114" t="s">
        <v>213</v>
      </c>
      <c r="B45" s="117">
        <v>41980</v>
      </c>
      <c r="C45" s="117" t="s">
        <v>258</v>
      </c>
      <c r="D45" s="117">
        <v>77</v>
      </c>
      <c r="E45" s="117" t="s">
        <v>208</v>
      </c>
      <c r="F45" s="115">
        <v>498257</v>
      </c>
      <c r="G45" s="115">
        <v>637950</v>
      </c>
      <c r="H45" s="115">
        <v>771125</v>
      </c>
      <c r="I45" s="115">
        <v>958350</v>
      </c>
      <c r="J45" s="116">
        <v>259000</v>
      </c>
      <c r="K45" s="118">
        <v>45292</v>
      </c>
      <c r="L45" s="119" t="s">
        <v>209</v>
      </c>
    </row>
    <row r="46" spans="1:12" x14ac:dyDescent="0.3">
      <c r="A46" s="114" t="s">
        <v>224</v>
      </c>
      <c r="B46" s="117">
        <v>41900</v>
      </c>
      <c r="C46" s="117" t="s">
        <v>259</v>
      </c>
      <c r="D46" s="117">
        <v>79</v>
      </c>
      <c r="E46" s="117" t="s">
        <v>208</v>
      </c>
      <c r="F46" s="115">
        <v>498257</v>
      </c>
      <c r="G46" s="115">
        <v>637950</v>
      </c>
      <c r="H46" s="115">
        <v>771125</v>
      </c>
      <c r="I46" s="115">
        <v>958350</v>
      </c>
      <c r="J46" s="116">
        <v>169000</v>
      </c>
      <c r="K46" s="118">
        <v>45292</v>
      </c>
      <c r="L46" s="119" t="s">
        <v>209</v>
      </c>
    </row>
    <row r="47" spans="1:12" x14ac:dyDescent="0.3">
      <c r="A47" s="114" t="s">
        <v>210</v>
      </c>
      <c r="B47" s="117">
        <v>10380</v>
      </c>
      <c r="C47" s="117" t="s">
        <v>260</v>
      </c>
      <c r="D47" s="117">
        <v>81</v>
      </c>
      <c r="E47" s="117" t="s">
        <v>208</v>
      </c>
      <c r="F47" s="115">
        <v>498257</v>
      </c>
      <c r="G47" s="115">
        <v>637950</v>
      </c>
      <c r="H47" s="115">
        <v>771125</v>
      </c>
      <c r="I47" s="115">
        <v>958350</v>
      </c>
      <c r="J47" s="116">
        <v>290000</v>
      </c>
      <c r="K47" s="118">
        <v>45292</v>
      </c>
      <c r="L47" s="119" t="s">
        <v>209</v>
      </c>
    </row>
    <row r="48" spans="1:12" x14ac:dyDescent="0.3">
      <c r="A48" s="114" t="s">
        <v>251</v>
      </c>
      <c r="B48" s="117">
        <v>32420</v>
      </c>
      <c r="C48" s="117" t="s">
        <v>261</v>
      </c>
      <c r="D48" s="117">
        <v>83</v>
      </c>
      <c r="E48" s="117" t="s">
        <v>208</v>
      </c>
      <c r="F48" s="115">
        <v>498257</v>
      </c>
      <c r="G48" s="115">
        <v>637950</v>
      </c>
      <c r="H48" s="115">
        <v>771125</v>
      </c>
      <c r="I48" s="115">
        <v>958350</v>
      </c>
      <c r="J48" s="116">
        <v>168000</v>
      </c>
      <c r="K48" s="118">
        <v>45292</v>
      </c>
      <c r="L48" s="119" t="s">
        <v>209</v>
      </c>
    </row>
    <row r="49" spans="1:12" ht="27.6" x14ac:dyDescent="0.3">
      <c r="A49" s="114" t="s">
        <v>213</v>
      </c>
      <c r="B49" s="117">
        <v>41980</v>
      </c>
      <c r="C49" s="117" t="s">
        <v>262</v>
      </c>
      <c r="D49" s="117">
        <v>85</v>
      </c>
      <c r="E49" s="117" t="s">
        <v>208</v>
      </c>
      <c r="F49" s="115">
        <v>498257</v>
      </c>
      <c r="G49" s="115">
        <v>637950</v>
      </c>
      <c r="H49" s="115">
        <v>771125</v>
      </c>
      <c r="I49" s="115">
        <v>958350</v>
      </c>
      <c r="J49" s="116">
        <v>259000</v>
      </c>
      <c r="K49" s="118">
        <v>45292</v>
      </c>
      <c r="L49" s="119" t="s">
        <v>209</v>
      </c>
    </row>
    <row r="50" spans="1:12" ht="27.6" x14ac:dyDescent="0.3">
      <c r="A50" s="114" t="s">
        <v>213</v>
      </c>
      <c r="B50" s="117">
        <v>41980</v>
      </c>
      <c r="C50" s="117" t="s">
        <v>263</v>
      </c>
      <c r="D50" s="117">
        <v>87</v>
      </c>
      <c r="E50" s="117" t="s">
        <v>208</v>
      </c>
      <c r="F50" s="115">
        <v>498257</v>
      </c>
      <c r="G50" s="115">
        <v>637950</v>
      </c>
      <c r="H50" s="115">
        <v>771125</v>
      </c>
      <c r="I50" s="115">
        <v>958350</v>
      </c>
      <c r="J50" s="116">
        <v>259000</v>
      </c>
      <c r="K50" s="118">
        <v>45292</v>
      </c>
      <c r="L50" s="119" t="s">
        <v>209</v>
      </c>
    </row>
    <row r="51" spans="1:12" ht="27.6" x14ac:dyDescent="0.3">
      <c r="A51" s="114" t="s">
        <v>213</v>
      </c>
      <c r="B51" s="117">
        <v>41980</v>
      </c>
      <c r="C51" s="117" t="s">
        <v>264</v>
      </c>
      <c r="D51" s="117">
        <v>89</v>
      </c>
      <c r="E51" s="117" t="s">
        <v>208</v>
      </c>
      <c r="F51" s="115">
        <v>498257</v>
      </c>
      <c r="G51" s="115">
        <v>637950</v>
      </c>
      <c r="H51" s="115">
        <v>771125</v>
      </c>
      <c r="I51" s="115">
        <v>958350</v>
      </c>
      <c r="J51" s="116">
        <v>259000</v>
      </c>
      <c r="K51" s="118">
        <v>45292</v>
      </c>
      <c r="L51" s="119" t="s">
        <v>209</v>
      </c>
    </row>
    <row r="52" spans="1:12" ht="27.6" x14ac:dyDescent="0.3">
      <c r="A52" s="114" t="s">
        <v>213</v>
      </c>
      <c r="B52" s="117">
        <v>41980</v>
      </c>
      <c r="C52" s="117" t="s">
        <v>265</v>
      </c>
      <c r="D52" s="117">
        <v>91</v>
      </c>
      <c r="E52" s="117" t="s">
        <v>208</v>
      </c>
      <c r="F52" s="115">
        <v>498257</v>
      </c>
      <c r="G52" s="115">
        <v>637950</v>
      </c>
      <c r="H52" s="115">
        <v>771125</v>
      </c>
      <c r="I52" s="115">
        <v>958350</v>
      </c>
      <c r="J52" s="116">
        <v>259000</v>
      </c>
      <c r="K52" s="118">
        <v>45292</v>
      </c>
      <c r="L52" s="119" t="s">
        <v>209</v>
      </c>
    </row>
    <row r="53" spans="1:12" x14ac:dyDescent="0.3">
      <c r="A53" s="114" t="s">
        <v>239</v>
      </c>
      <c r="B53" s="117">
        <v>99999</v>
      </c>
      <c r="C53" s="117" t="s">
        <v>266</v>
      </c>
      <c r="D53" s="117">
        <v>93</v>
      </c>
      <c r="E53" s="117" t="s">
        <v>208</v>
      </c>
      <c r="F53" s="115">
        <v>498257</v>
      </c>
      <c r="G53" s="115">
        <v>637950</v>
      </c>
      <c r="H53" s="115">
        <v>771125</v>
      </c>
      <c r="I53" s="115">
        <v>958350</v>
      </c>
      <c r="J53" s="116">
        <v>155000</v>
      </c>
      <c r="K53" s="118">
        <v>45292</v>
      </c>
      <c r="L53" s="119" t="s">
        <v>209</v>
      </c>
    </row>
    <row r="54" spans="1:12" ht="27.6" x14ac:dyDescent="0.3">
      <c r="A54" s="114" t="s">
        <v>213</v>
      </c>
      <c r="B54" s="117">
        <v>41980</v>
      </c>
      <c r="C54" s="117" t="s">
        <v>267</v>
      </c>
      <c r="D54" s="117">
        <v>95</v>
      </c>
      <c r="E54" s="117" t="s">
        <v>208</v>
      </c>
      <c r="F54" s="115">
        <v>498257</v>
      </c>
      <c r="G54" s="115">
        <v>637950</v>
      </c>
      <c r="H54" s="115">
        <v>771125</v>
      </c>
      <c r="I54" s="115">
        <v>958350</v>
      </c>
      <c r="J54" s="116">
        <v>259000</v>
      </c>
      <c r="K54" s="118">
        <v>45292</v>
      </c>
      <c r="L54" s="119" t="s">
        <v>209</v>
      </c>
    </row>
    <row r="55" spans="1:12" x14ac:dyDescent="0.3">
      <c r="A55" s="114" t="s">
        <v>251</v>
      </c>
      <c r="B55" s="117">
        <v>32420</v>
      </c>
      <c r="C55" s="117" t="s">
        <v>268</v>
      </c>
      <c r="D55" s="117">
        <v>97</v>
      </c>
      <c r="E55" s="117" t="s">
        <v>208</v>
      </c>
      <c r="F55" s="115">
        <v>498257</v>
      </c>
      <c r="G55" s="115">
        <v>637950</v>
      </c>
      <c r="H55" s="115">
        <v>771125</v>
      </c>
      <c r="I55" s="115">
        <v>958350</v>
      </c>
      <c r="J55" s="116">
        <v>168000</v>
      </c>
      <c r="K55" s="118">
        <v>45292</v>
      </c>
      <c r="L55" s="119" t="s">
        <v>209</v>
      </c>
    </row>
    <row r="56" spans="1:12" x14ac:dyDescent="0.3">
      <c r="A56" s="114" t="s">
        <v>269</v>
      </c>
      <c r="B56" s="119">
        <v>10380</v>
      </c>
      <c r="C56" s="119" t="s">
        <v>270</v>
      </c>
      <c r="D56" s="119">
        <v>99</v>
      </c>
      <c r="E56" s="119" t="s">
        <v>208</v>
      </c>
      <c r="F56" s="115">
        <v>498257</v>
      </c>
      <c r="G56" s="115">
        <v>637950</v>
      </c>
      <c r="H56" s="115">
        <v>771125</v>
      </c>
      <c r="I56" s="115">
        <v>958350</v>
      </c>
      <c r="J56" s="115">
        <v>290000</v>
      </c>
      <c r="K56" s="118">
        <v>45292</v>
      </c>
      <c r="L56" s="119" t="s">
        <v>209</v>
      </c>
    </row>
    <row r="57" spans="1:12" ht="27.6" x14ac:dyDescent="0.3">
      <c r="A57" s="114" t="s">
        <v>213</v>
      </c>
      <c r="B57" s="119">
        <v>41980</v>
      </c>
      <c r="C57" s="119" t="s">
        <v>271</v>
      </c>
      <c r="D57" s="119">
        <v>101</v>
      </c>
      <c r="E57" s="119" t="s">
        <v>208</v>
      </c>
      <c r="F57" s="115">
        <v>498257</v>
      </c>
      <c r="G57" s="115">
        <v>637950</v>
      </c>
      <c r="H57" s="115">
        <v>771125</v>
      </c>
      <c r="I57" s="115">
        <v>958350</v>
      </c>
      <c r="J57" s="115">
        <v>259000</v>
      </c>
      <c r="K57" s="118">
        <v>45292</v>
      </c>
      <c r="L57" s="119" t="s">
        <v>209</v>
      </c>
    </row>
    <row r="58" spans="1:12" ht="27.6" x14ac:dyDescent="0.3">
      <c r="A58" s="114" t="s">
        <v>213</v>
      </c>
      <c r="B58" s="119">
        <v>41980</v>
      </c>
      <c r="C58" s="119" t="s">
        <v>272</v>
      </c>
      <c r="D58" s="119">
        <v>103</v>
      </c>
      <c r="E58" s="119" t="s">
        <v>208</v>
      </c>
      <c r="F58" s="115">
        <v>498257</v>
      </c>
      <c r="G58" s="115">
        <v>637950</v>
      </c>
      <c r="H58" s="115">
        <v>771125</v>
      </c>
      <c r="I58" s="115">
        <v>958350</v>
      </c>
      <c r="J58" s="115">
        <v>259000</v>
      </c>
      <c r="K58" s="118">
        <v>45292</v>
      </c>
      <c r="L58" s="119" t="s">
        <v>209</v>
      </c>
    </row>
    <row r="59" spans="1:12" ht="27.6" x14ac:dyDescent="0.3">
      <c r="A59" s="114" t="s">
        <v>213</v>
      </c>
      <c r="B59" s="119">
        <v>41980</v>
      </c>
      <c r="C59" s="119" t="s">
        <v>273</v>
      </c>
      <c r="D59" s="119">
        <v>105</v>
      </c>
      <c r="E59" s="119" t="s">
        <v>208</v>
      </c>
      <c r="F59" s="115">
        <v>498257</v>
      </c>
      <c r="G59" s="115">
        <v>637950</v>
      </c>
      <c r="H59" s="115">
        <v>771125</v>
      </c>
      <c r="I59" s="115">
        <v>958350</v>
      </c>
      <c r="J59" s="115">
        <v>259000</v>
      </c>
      <c r="K59" s="118">
        <v>45292</v>
      </c>
      <c r="L59" s="119" t="s">
        <v>209</v>
      </c>
    </row>
    <row r="60" spans="1:12" ht="27.6" x14ac:dyDescent="0.3">
      <c r="A60" s="114" t="s">
        <v>213</v>
      </c>
      <c r="B60" s="119">
        <v>41980</v>
      </c>
      <c r="C60" s="119" t="s">
        <v>274</v>
      </c>
      <c r="D60" s="119">
        <v>107</v>
      </c>
      <c r="E60" s="119" t="s">
        <v>208</v>
      </c>
      <c r="F60" s="115">
        <v>498257</v>
      </c>
      <c r="G60" s="115">
        <v>637950</v>
      </c>
      <c r="H60" s="115">
        <v>771125</v>
      </c>
      <c r="I60" s="115">
        <v>958350</v>
      </c>
      <c r="J60" s="115">
        <v>259000</v>
      </c>
      <c r="K60" s="118">
        <v>45292</v>
      </c>
      <c r="L60" s="119" t="s">
        <v>209</v>
      </c>
    </row>
    <row r="61" spans="1:12" x14ac:dyDescent="0.3">
      <c r="A61" s="114" t="s">
        <v>219</v>
      </c>
      <c r="B61" s="119">
        <v>25020</v>
      </c>
      <c r="C61" s="119" t="s">
        <v>275</v>
      </c>
      <c r="D61" s="119">
        <v>109</v>
      </c>
      <c r="E61" s="119" t="s">
        <v>208</v>
      </c>
      <c r="F61" s="115">
        <v>498257</v>
      </c>
      <c r="G61" s="115">
        <v>637950</v>
      </c>
      <c r="H61" s="115">
        <v>771125</v>
      </c>
      <c r="I61" s="115">
        <v>958350</v>
      </c>
      <c r="J61" s="115">
        <v>143000</v>
      </c>
      <c r="K61" s="118">
        <v>45292</v>
      </c>
      <c r="L61" s="119" t="s">
        <v>209</v>
      </c>
    </row>
    <row r="62" spans="1:12" x14ac:dyDescent="0.3">
      <c r="A62" s="114" t="s">
        <v>244</v>
      </c>
      <c r="B62" s="119">
        <v>49500</v>
      </c>
      <c r="C62" s="119" t="s">
        <v>276</v>
      </c>
      <c r="D62" s="119">
        <v>111</v>
      </c>
      <c r="E62" s="119" t="s">
        <v>208</v>
      </c>
      <c r="F62" s="115">
        <v>498257</v>
      </c>
      <c r="G62" s="115">
        <v>637950</v>
      </c>
      <c r="H62" s="115">
        <v>771125</v>
      </c>
      <c r="I62" s="115">
        <v>958350</v>
      </c>
      <c r="J62" s="115">
        <v>147000</v>
      </c>
      <c r="K62" s="118">
        <v>45292</v>
      </c>
      <c r="L62" s="119" t="s">
        <v>209</v>
      </c>
    </row>
    <row r="63" spans="1:12" x14ac:dyDescent="0.3">
      <c r="A63" s="114" t="s">
        <v>206</v>
      </c>
      <c r="B63" s="119">
        <v>38660</v>
      </c>
      <c r="C63" s="119" t="s">
        <v>277</v>
      </c>
      <c r="D63" s="119">
        <v>113</v>
      </c>
      <c r="E63" s="119" t="s">
        <v>208</v>
      </c>
      <c r="F63" s="115">
        <v>498257</v>
      </c>
      <c r="G63" s="115">
        <v>637950</v>
      </c>
      <c r="H63" s="115">
        <v>771125</v>
      </c>
      <c r="I63" s="115">
        <v>958350</v>
      </c>
      <c r="J63" s="115">
        <v>161000</v>
      </c>
      <c r="K63" s="118">
        <v>45292</v>
      </c>
      <c r="L63" s="119" t="s">
        <v>209</v>
      </c>
    </row>
    <row r="64" spans="1:12" x14ac:dyDescent="0.3">
      <c r="A64" s="114" t="s">
        <v>217</v>
      </c>
      <c r="B64" s="119">
        <v>11640</v>
      </c>
      <c r="C64" s="119" t="s">
        <v>278</v>
      </c>
      <c r="D64" s="119">
        <v>115</v>
      </c>
      <c r="E64" s="119" t="s">
        <v>208</v>
      </c>
      <c r="F64" s="115">
        <v>498257</v>
      </c>
      <c r="G64" s="115">
        <v>637950</v>
      </c>
      <c r="H64" s="115">
        <v>771125</v>
      </c>
      <c r="I64" s="115">
        <v>958350</v>
      </c>
      <c r="J64" s="115">
        <v>168000</v>
      </c>
      <c r="K64" s="118">
        <v>45292</v>
      </c>
      <c r="L64" s="119" t="s">
        <v>209</v>
      </c>
    </row>
    <row r="65" spans="1:12" x14ac:dyDescent="0.3">
      <c r="A65" s="114" t="s">
        <v>210</v>
      </c>
      <c r="B65" s="119">
        <v>10380</v>
      </c>
      <c r="C65" s="119" t="s">
        <v>279</v>
      </c>
      <c r="D65" s="119">
        <v>117</v>
      </c>
      <c r="E65" s="119" t="s">
        <v>208</v>
      </c>
      <c r="F65" s="115">
        <v>498257</v>
      </c>
      <c r="G65" s="115">
        <v>637950</v>
      </c>
      <c r="H65" s="115">
        <v>771125</v>
      </c>
      <c r="I65" s="115">
        <v>958350</v>
      </c>
      <c r="J65" s="115">
        <v>290000</v>
      </c>
      <c r="K65" s="118">
        <v>45292</v>
      </c>
      <c r="L65" s="119" t="s">
        <v>209</v>
      </c>
    </row>
    <row r="66" spans="1:12" ht="27.6" x14ac:dyDescent="0.3">
      <c r="A66" s="114" t="s">
        <v>213</v>
      </c>
      <c r="B66" s="119">
        <v>41980</v>
      </c>
      <c r="C66" s="119" t="s">
        <v>280</v>
      </c>
      <c r="D66" s="119">
        <v>119</v>
      </c>
      <c r="E66" s="119" t="s">
        <v>208</v>
      </c>
      <c r="F66" s="115">
        <v>498257</v>
      </c>
      <c r="G66" s="115">
        <v>637950</v>
      </c>
      <c r="H66" s="115">
        <v>771125</v>
      </c>
      <c r="I66" s="115">
        <v>958350</v>
      </c>
      <c r="J66" s="115">
        <v>259000</v>
      </c>
      <c r="K66" s="118">
        <v>45292</v>
      </c>
      <c r="L66" s="119" t="s">
        <v>209</v>
      </c>
    </row>
    <row r="67" spans="1:12" x14ac:dyDescent="0.3">
      <c r="A67" s="114" t="s">
        <v>224</v>
      </c>
      <c r="B67" s="119">
        <v>41900</v>
      </c>
      <c r="C67" s="119" t="s">
        <v>281</v>
      </c>
      <c r="D67" s="119">
        <v>121</v>
      </c>
      <c r="E67" s="119" t="s">
        <v>208</v>
      </c>
      <c r="F67" s="115">
        <v>498257</v>
      </c>
      <c r="G67" s="115">
        <v>637950</v>
      </c>
      <c r="H67" s="115">
        <v>771125</v>
      </c>
      <c r="I67" s="115">
        <v>958350</v>
      </c>
      <c r="J67" s="115">
        <v>169000</v>
      </c>
      <c r="K67" s="118">
        <v>45292</v>
      </c>
      <c r="L67" s="119" t="s">
        <v>209</v>
      </c>
    </row>
    <row r="68" spans="1:12" x14ac:dyDescent="0.3">
      <c r="A68" s="114" t="s">
        <v>282</v>
      </c>
      <c r="B68" s="119">
        <v>17640</v>
      </c>
      <c r="C68" s="119" t="s">
        <v>283</v>
      </c>
      <c r="D68" s="119">
        <v>123</v>
      </c>
      <c r="E68" s="119" t="s">
        <v>208</v>
      </c>
      <c r="F68" s="115">
        <v>498257</v>
      </c>
      <c r="G68" s="115">
        <v>637950</v>
      </c>
      <c r="H68" s="115">
        <v>771125</v>
      </c>
      <c r="I68" s="115">
        <v>958350</v>
      </c>
      <c r="J68" s="115">
        <v>133000</v>
      </c>
      <c r="K68" s="118">
        <v>45292</v>
      </c>
      <c r="L68" s="119" t="s">
        <v>209</v>
      </c>
    </row>
    <row r="69" spans="1:12" x14ac:dyDescent="0.3">
      <c r="A69" s="114" t="s">
        <v>224</v>
      </c>
      <c r="B69" s="119">
        <v>41900</v>
      </c>
      <c r="C69" s="119" t="s">
        <v>284</v>
      </c>
      <c r="D69" s="119">
        <v>125</v>
      </c>
      <c r="E69" s="119" t="s">
        <v>208</v>
      </c>
      <c r="F69" s="115">
        <v>498257</v>
      </c>
      <c r="G69" s="115">
        <v>637950</v>
      </c>
      <c r="H69" s="115">
        <v>771125</v>
      </c>
      <c r="I69" s="115">
        <v>958350</v>
      </c>
      <c r="J69" s="115">
        <v>169000</v>
      </c>
      <c r="K69" s="118">
        <v>45292</v>
      </c>
      <c r="L69" s="119" t="s">
        <v>209</v>
      </c>
    </row>
    <row r="70" spans="1:12" ht="27.6" x14ac:dyDescent="0.3">
      <c r="A70" s="114" t="s">
        <v>213</v>
      </c>
      <c r="B70" s="119">
        <v>41980</v>
      </c>
      <c r="C70" s="119" t="s">
        <v>285</v>
      </c>
      <c r="D70" s="119">
        <v>127</v>
      </c>
      <c r="E70" s="119" t="s">
        <v>208</v>
      </c>
      <c r="F70" s="115">
        <v>498257</v>
      </c>
      <c r="G70" s="115">
        <v>637950</v>
      </c>
      <c r="H70" s="115">
        <v>771125</v>
      </c>
      <c r="I70" s="115">
        <v>958350</v>
      </c>
      <c r="J70" s="115">
        <v>259000</v>
      </c>
      <c r="K70" s="118">
        <v>45292</v>
      </c>
      <c r="L70" s="119" t="s">
        <v>209</v>
      </c>
    </row>
    <row r="71" spans="1:12" ht="27.6" x14ac:dyDescent="0.3">
      <c r="A71" s="114" t="s">
        <v>213</v>
      </c>
      <c r="B71" s="119">
        <v>41980</v>
      </c>
      <c r="C71" s="119" t="s">
        <v>286</v>
      </c>
      <c r="D71" s="119">
        <v>129</v>
      </c>
      <c r="E71" s="119" t="s">
        <v>208</v>
      </c>
      <c r="F71" s="115">
        <v>498257</v>
      </c>
      <c r="G71" s="115">
        <v>637950</v>
      </c>
      <c r="H71" s="115">
        <v>771125</v>
      </c>
      <c r="I71" s="115">
        <v>958350</v>
      </c>
      <c r="J71" s="115">
        <v>259000</v>
      </c>
      <c r="K71" s="118">
        <v>45292</v>
      </c>
      <c r="L71" s="119" t="s">
        <v>209</v>
      </c>
    </row>
    <row r="72" spans="1:12" x14ac:dyDescent="0.3">
      <c r="A72" s="114" t="s">
        <v>210</v>
      </c>
      <c r="B72" s="119">
        <v>10380</v>
      </c>
      <c r="C72" s="119" t="s">
        <v>287</v>
      </c>
      <c r="D72" s="119">
        <v>131</v>
      </c>
      <c r="E72" s="119" t="s">
        <v>208</v>
      </c>
      <c r="F72" s="115">
        <v>498257</v>
      </c>
      <c r="G72" s="115">
        <v>637950</v>
      </c>
      <c r="H72" s="115">
        <v>771125</v>
      </c>
      <c r="I72" s="115">
        <v>958350</v>
      </c>
      <c r="J72" s="115">
        <v>290000</v>
      </c>
      <c r="K72" s="118">
        <v>45292</v>
      </c>
      <c r="L72" s="119" t="s">
        <v>209</v>
      </c>
    </row>
    <row r="73" spans="1:12" x14ac:dyDescent="0.3">
      <c r="A73" s="114" t="s">
        <v>288</v>
      </c>
      <c r="B73" s="119">
        <v>42180</v>
      </c>
      <c r="C73" s="119" t="s">
        <v>289</v>
      </c>
      <c r="D73" s="119">
        <v>133</v>
      </c>
      <c r="E73" s="119" t="s">
        <v>208</v>
      </c>
      <c r="F73" s="115">
        <v>498257</v>
      </c>
      <c r="G73" s="115">
        <v>637950</v>
      </c>
      <c r="H73" s="115">
        <v>771125</v>
      </c>
      <c r="I73" s="115">
        <v>958350</v>
      </c>
      <c r="J73" s="115">
        <v>153000</v>
      </c>
      <c r="K73" s="118">
        <v>45292</v>
      </c>
      <c r="L73" s="119" t="s">
        <v>209</v>
      </c>
    </row>
    <row r="74" spans="1:12" ht="27.6" x14ac:dyDescent="0.3">
      <c r="A74" s="114" t="s">
        <v>213</v>
      </c>
      <c r="B74" s="119">
        <v>41980</v>
      </c>
      <c r="C74" s="119" t="s">
        <v>290</v>
      </c>
      <c r="D74" s="119">
        <v>135</v>
      </c>
      <c r="E74" s="119" t="s">
        <v>208</v>
      </c>
      <c r="F74" s="115">
        <v>498257</v>
      </c>
      <c r="G74" s="115">
        <v>637950</v>
      </c>
      <c r="H74" s="115">
        <v>771125</v>
      </c>
      <c r="I74" s="115">
        <v>958350</v>
      </c>
      <c r="J74" s="115">
        <v>259000</v>
      </c>
      <c r="K74" s="118">
        <v>45292</v>
      </c>
      <c r="L74" s="119" t="s">
        <v>209</v>
      </c>
    </row>
    <row r="75" spans="1:12" ht="27.6" x14ac:dyDescent="0.3">
      <c r="A75" s="114" t="s">
        <v>213</v>
      </c>
      <c r="B75" s="119">
        <v>41980</v>
      </c>
      <c r="C75" s="119" t="s">
        <v>291</v>
      </c>
      <c r="D75" s="119">
        <v>137</v>
      </c>
      <c r="E75" s="119" t="s">
        <v>208</v>
      </c>
      <c r="F75" s="115">
        <v>498257</v>
      </c>
      <c r="G75" s="115">
        <v>637950</v>
      </c>
      <c r="H75" s="115">
        <v>771125</v>
      </c>
      <c r="I75" s="115">
        <v>958350</v>
      </c>
      <c r="J75" s="115">
        <v>259000</v>
      </c>
      <c r="K75" s="118">
        <v>45292</v>
      </c>
      <c r="L75" s="119" t="s">
        <v>209</v>
      </c>
    </row>
    <row r="76" spans="1:12" ht="27.6" x14ac:dyDescent="0.3">
      <c r="A76" s="114" t="s">
        <v>213</v>
      </c>
      <c r="B76" s="119">
        <v>41980</v>
      </c>
      <c r="C76" s="119" t="s">
        <v>292</v>
      </c>
      <c r="D76" s="119">
        <v>139</v>
      </c>
      <c r="E76" s="119" t="s">
        <v>208</v>
      </c>
      <c r="F76" s="115">
        <v>498257</v>
      </c>
      <c r="G76" s="115">
        <v>637950</v>
      </c>
      <c r="H76" s="115">
        <v>771125</v>
      </c>
      <c r="I76" s="115">
        <v>958350</v>
      </c>
      <c r="J76" s="115">
        <v>259000</v>
      </c>
      <c r="K76" s="118">
        <v>45292</v>
      </c>
      <c r="L76" s="119" t="s">
        <v>209</v>
      </c>
    </row>
    <row r="77" spans="1:12" x14ac:dyDescent="0.3">
      <c r="A77" s="114" t="s">
        <v>210</v>
      </c>
      <c r="B77" s="119">
        <v>10380</v>
      </c>
      <c r="C77" s="119" t="s">
        <v>293</v>
      </c>
      <c r="D77" s="119">
        <v>141</v>
      </c>
      <c r="E77" s="119" t="s">
        <v>208</v>
      </c>
      <c r="F77" s="115">
        <v>498257</v>
      </c>
      <c r="G77" s="115">
        <v>637950</v>
      </c>
      <c r="H77" s="115">
        <v>771125</v>
      </c>
      <c r="I77" s="115">
        <v>958350</v>
      </c>
      <c r="J77" s="115">
        <v>290000</v>
      </c>
      <c r="K77" s="118">
        <v>45292</v>
      </c>
      <c r="L77" s="119" t="s">
        <v>209</v>
      </c>
    </row>
    <row r="78" spans="1:12" ht="27.6" x14ac:dyDescent="0.3">
      <c r="A78" s="114" t="s">
        <v>213</v>
      </c>
      <c r="B78" s="119">
        <v>41980</v>
      </c>
      <c r="C78" s="119" t="s">
        <v>294</v>
      </c>
      <c r="D78" s="119">
        <v>143</v>
      </c>
      <c r="E78" s="119" t="s">
        <v>208</v>
      </c>
      <c r="F78" s="115">
        <v>498257</v>
      </c>
      <c r="G78" s="115">
        <v>637950</v>
      </c>
      <c r="H78" s="115">
        <v>771125</v>
      </c>
      <c r="I78" s="115">
        <v>958350</v>
      </c>
      <c r="J78" s="115">
        <v>259000</v>
      </c>
      <c r="K78" s="118">
        <v>45292</v>
      </c>
      <c r="L78" s="119" t="s">
        <v>209</v>
      </c>
    </row>
    <row r="79" spans="1:12" ht="27.6" x14ac:dyDescent="0.3">
      <c r="A79" s="114" t="s">
        <v>213</v>
      </c>
      <c r="B79" s="119">
        <v>41980</v>
      </c>
      <c r="C79" s="119" t="s">
        <v>295</v>
      </c>
      <c r="D79" s="119">
        <v>145</v>
      </c>
      <c r="E79" s="119" t="s">
        <v>208</v>
      </c>
      <c r="F79" s="115">
        <v>498257</v>
      </c>
      <c r="G79" s="115">
        <v>637950</v>
      </c>
      <c r="H79" s="115">
        <v>771125</v>
      </c>
      <c r="I79" s="115">
        <v>958350</v>
      </c>
      <c r="J79" s="115">
        <v>259000</v>
      </c>
      <c r="K79" s="118">
        <v>45292</v>
      </c>
      <c r="L79" s="119" t="s">
        <v>209</v>
      </c>
    </row>
    <row r="80" spans="1:12" x14ac:dyDescent="0.3">
      <c r="A80" s="114" t="s">
        <v>239</v>
      </c>
      <c r="B80" s="119">
        <v>99999</v>
      </c>
      <c r="C80" s="119" t="s">
        <v>296</v>
      </c>
      <c r="D80" s="119">
        <v>147</v>
      </c>
      <c r="E80" s="119" t="s">
        <v>208</v>
      </c>
      <c r="F80" s="115">
        <v>498257</v>
      </c>
      <c r="G80" s="115">
        <v>637950</v>
      </c>
      <c r="H80" s="115">
        <v>771125</v>
      </c>
      <c r="I80" s="115">
        <v>958350</v>
      </c>
      <c r="J80" s="115">
        <v>173000</v>
      </c>
      <c r="K80" s="118">
        <v>45292</v>
      </c>
      <c r="L80" s="119" t="s">
        <v>209</v>
      </c>
    </row>
    <row r="81" spans="1:12" x14ac:dyDescent="0.3">
      <c r="A81" s="114" t="s">
        <v>206</v>
      </c>
      <c r="B81" s="119">
        <v>38660</v>
      </c>
      <c r="C81" s="119" t="s">
        <v>297</v>
      </c>
      <c r="D81" s="119">
        <v>149</v>
      </c>
      <c r="E81" s="119" t="s">
        <v>208</v>
      </c>
      <c r="F81" s="115">
        <v>498257</v>
      </c>
      <c r="G81" s="115">
        <v>637950</v>
      </c>
      <c r="H81" s="115">
        <v>771125</v>
      </c>
      <c r="I81" s="115">
        <v>958350</v>
      </c>
      <c r="J81" s="115">
        <v>161000</v>
      </c>
      <c r="K81" s="118">
        <v>45292</v>
      </c>
      <c r="L81" s="119" t="s">
        <v>209</v>
      </c>
    </row>
    <row r="82" spans="1:12" ht="27.6" x14ac:dyDescent="0.3">
      <c r="A82" s="114" t="s">
        <v>213</v>
      </c>
      <c r="B82" s="119">
        <v>41980</v>
      </c>
      <c r="C82" s="119" t="s">
        <v>298</v>
      </c>
      <c r="D82" s="119">
        <v>151</v>
      </c>
      <c r="E82" s="119" t="s">
        <v>208</v>
      </c>
      <c r="F82" s="115">
        <v>498257</v>
      </c>
      <c r="G82" s="115">
        <v>637950</v>
      </c>
      <c r="H82" s="115">
        <v>771125</v>
      </c>
      <c r="I82" s="115">
        <v>958350</v>
      </c>
      <c r="J82" s="115">
        <v>259000</v>
      </c>
      <c r="K82" s="118">
        <v>45292</v>
      </c>
      <c r="L82" s="119" t="s">
        <v>209</v>
      </c>
    </row>
    <row r="83" spans="1:12" x14ac:dyDescent="0.3">
      <c r="A83" s="114" t="s">
        <v>244</v>
      </c>
      <c r="B83" s="119">
        <v>49500</v>
      </c>
      <c r="C83" s="119" t="s">
        <v>299</v>
      </c>
      <c r="D83" s="119">
        <v>153</v>
      </c>
      <c r="E83" s="119" t="s">
        <v>208</v>
      </c>
      <c r="F83" s="115">
        <v>498257</v>
      </c>
      <c r="G83" s="115">
        <v>637950</v>
      </c>
      <c r="H83" s="115">
        <v>771125</v>
      </c>
      <c r="I83" s="115">
        <v>958350</v>
      </c>
      <c r="J83" s="115">
        <v>147000</v>
      </c>
      <c r="K83" s="118">
        <v>45292</v>
      </c>
      <c r="L83" s="119" t="s">
        <v>209</v>
      </c>
    </row>
  </sheetData>
  <mergeCells count="11">
    <mergeCell ref="L4:L5"/>
    <mergeCell ref="A4:A5"/>
    <mergeCell ref="B4:B5"/>
    <mergeCell ref="C4:C5"/>
    <mergeCell ref="E4:E5"/>
    <mergeCell ref="F4:F5"/>
    <mergeCell ref="G4:G5"/>
    <mergeCell ref="H4:H5"/>
    <mergeCell ref="I4:I5"/>
    <mergeCell ref="J4:J5"/>
    <mergeCell ref="K4:K5"/>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FD89D-E68E-4BC8-A214-57C5CA93C7ED}">
  <sheetPr codeName="Sheet13"/>
  <dimension ref="B2:P27"/>
  <sheetViews>
    <sheetView showGridLines="0" zoomScale="90" zoomScaleNormal="90" workbookViewId="0">
      <selection activeCell="C4" sqref="C4"/>
    </sheetView>
  </sheetViews>
  <sheetFormatPr defaultRowHeight="14.4" x14ac:dyDescent="0.3"/>
  <cols>
    <col min="1" max="1" width="1.88671875" customWidth="1"/>
    <col min="2" max="2" width="8.88671875" customWidth="1"/>
    <col min="6" max="6" width="17.5546875" customWidth="1"/>
    <col min="8" max="8" width="13.44140625" customWidth="1"/>
    <col min="9" max="9" width="15.109375" customWidth="1"/>
    <col min="16" max="16" width="11.109375" bestFit="1" customWidth="1"/>
  </cols>
  <sheetData>
    <row r="2" spans="2:16" ht="18" x14ac:dyDescent="0.3">
      <c r="B2" s="55" t="s">
        <v>324</v>
      </c>
    </row>
    <row r="4" spans="2:16" x14ac:dyDescent="0.3">
      <c r="B4" s="3">
        <v>1</v>
      </c>
      <c r="C4" t="s">
        <v>306</v>
      </c>
      <c r="H4" s="122">
        <f>'Prequal Engine'!R120</f>
        <v>5.4999999999999997E-3</v>
      </c>
      <c r="J4" s="3">
        <v>4</v>
      </c>
      <c r="K4" t="s">
        <v>134</v>
      </c>
      <c r="P4" s="48">
        <f>'Prequal Engine'!P217</f>
        <v>2046.8037422947416</v>
      </c>
    </row>
    <row r="6" spans="2:16" x14ac:dyDescent="0.3">
      <c r="B6" s="3">
        <v>2</v>
      </c>
      <c r="C6" t="s">
        <v>133</v>
      </c>
      <c r="H6" s="48">
        <f>'Prequal Engine'!P209</f>
        <v>323826.4975</v>
      </c>
      <c r="J6" s="3">
        <v>5</v>
      </c>
      <c r="K6" t="s">
        <v>99</v>
      </c>
      <c r="P6" s="122">
        <f>'Prequal Engine'!R118</f>
        <v>1.7500000000000002E-2</v>
      </c>
    </row>
    <row r="8" spans="2:16" x14ac:dyDescent="0.3">
      <c r="B8" s="3">
        <v>3</v>
      </c>
      <c r="C8" t="s">
        <v>321</v>
      </c>
      <c r="H8" s="122">
        <f>'Prequal Engine'!M121</f>
        <v>6.5000000000000002E-2</v>
      </c>
    </row>
    <row r="11" spans="2:16" x14ac:dyDescent="0.3">
      <c r="D11" s="128" t="s">
        <v>323</v>
      </c>
    </row>
    <row r="12" spans="2:16" x14ac:dyDescent="0.3">
      <c r="F12" s="123" t="s">
        <v>307</v>
      </c>
      <c r="I12" s="76">
        <f>H6</f>
        <v>323826.4975</v>
      </c>
      <c r="J12" s="3" t="s">
        <v>322</v>
      </c>
    </row>
    <row r="13" spans="2:16" x14ac:dyDescent="0.3">
      <c r="F13" s="123" t="s">
        <v>308</v>
      </c>
      <c r="I13" s="76">
        <f>ROUND(ROUND(I12*($H$8*100),2)/1200,2)+I12-$P$4</f>
        <v>323533.75375770527</v>
      </c>
    </row>
    <row r="14" spans="2:16" x14ac:dyDescent="0.3">
      <c r="F14" s="123" t="s">
        <v>309</v>
      </c>
      <c r="I14" s="76">
        <f t="shared" ref="I14:I23" si="0">ROUND(ROUND(I13*($H$8*100),2)/1200,2)+I13-$P$4</f>
        <v>323239.42001541052</v>
      </c>
    </row>
    <row r="15" spans="2:16" x14ac:dyDescent="0.3">
      <c r="F15" s="123" t="s">
        <v>310</v>
      </c>
      <c r="I15" s="76">
        <f t="shared" si="0"/>
        <v>322943.4962731158</v>
      </c>
    </row>
    <row r="16" spans="2:16" x14ac:dyDescent="0.3">
      <c r="F16" s="123" t="s">
        <v>311</v>
      </c>
      <c r="I16" s="76">
        <f t="shared" si="0"/>
        <v>322645.97253082111</v>
      </c>
    </row>
    <row r="17" spans="6:9" x14ac:dyDescent="0.3">
      <c r="F17" s="123" t="s">
        <v>312</v>
      </c>
      <c r="I17" s="76">
        <f t="shared" si="0"/>
        <v>322346.83878852637</v>
      </c>
    </row>
    <row r="18" spans="6:9" x14ac:dyDescent="0.3">
      <c r="F18" s="123" t="s">
        <v>313</v>
      </c>
      <c r="I18" s="76">
        <f t="shared" si="0"/>
        <v>322046.08504623163</v>
      </c>
    </row>
    <row r="19" spans="6:9" x14ac:dyDescent="0.3">
      <c r="F19" s="123" t="s">
        <v>314</v>
      </c>
      <c r="I19" s="76">
        <f t="shared" si="0"/>
        <v>321743.70130393689</v>
      </c>
    </row>
    <row r="20" spans="6:9" x14ac:dyDescent="0.3">
      <c r="F20" s="123" t="s">
        <v>315</v>
      </c>
      <c r="I20" s="76">
        <f t="shared" si="0"/>
        <v>321439.67756164219</v>
      </c>
    </row>
    <row r="21" spans="6:9" x14ac:dyDescent="0.3">
      <c r="F21" s="123" t="s">
        <v>316</v>
      </c>
      <c r="I21" s="76">
        <f t="shared" si="0"/>
        <v>321134.00381934748</v>
      </c>
    </row>
    <row r="22" spans="6:9" x14ac:dyDescent="0.3">
      <c r="F22" s="123" t="s">
        <v>317</v>
      </c>
      <c r="I22" s="76">
        <f t="shared" si="0"/>
        <v>320826.68007705273</v>
      </c>
    </row>
    <row r="23" spans="6:9" x14ac:dyDescent="0.3">
      <c r="F23" s="123" t="s">
        <v>318</v>
      </c>
      <c r="I23" s="76">
        <f t="shared" si="0"/>
        <v>320517.68633475801</v>
      </c>
    </row>
    <row r="24" spans="6:9" x14ac:dyDescent="0.3">
      <c r="F24" s="123" t="s">
        <v>320</v>
      </c>
      <c r="I24" s="76">
        <f>SUM(I12:I23)</f>
        <v>3866243.8130085478</v>
      </c>
    </row>
    <row r="25" spans="6:9" x14ac:dyDescent="0.3">
      <c r="F25" s="123" t="s">
        <v>319</v>
      </c>
      <c r="I25" s="76">
        <f>ROUND(((I24/12))*H4,2)</f>
        <v>1772.03</v>
      </c>
    </row>
    <row r="26" spans="6:9" x14ac:dyDescent="0.3">
      <c r="I26" s="124">
        <f>ROUND(I25/(1+P6),2)</f>
        <v>1741.55</v>
      </c>
    </row>
    <row r="27" spans="6:9" x14ac:dyDescent="0.3">
      <c r="F27" s="125" t="s">
        <v>326</v>
      </c>
      <c r="G27" s="126"/>
      <c r="H27" s="126"/>
      <c r="I27" s="127">
        <f>ROUND(I26/12,2)</f>
        <v>145.13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220AD-F1A4-424E-AADB-3031C371CF75}">
  <sheetPr codeName="Sheet7">
    <pageSetUpPr fitToPage="1"/>
  </sheetPr>
  <dimension ref="B2:O54"/>
  <sheetViews>
    <sheetView showGridLines="0" zoomScale="67" zoomScaleNormal="60" workbookViewId="0">
      <selection activeCell="H16" sqref="H16"/>
    </sheetView>
  </sheetViews>
  <sheetFormatPr defaultRowHeight="14.4" x14ac:dyDescent="0.3"/>
  <cols>
    <col min="1" max="1" width="6.6640625" customWidth="1"/>
    <col min="6" max="6" width="39.109375" customWidth="1"/>
    <col min="7" max="7" width="16.44140625" customWidth="1"/>
    <col min="8" max="8" width="10" customWidth="1"/>
    <col min="9" max="9" width="27" customWidth="1"/>
  </cols>
  <sheetData>
    <row r="2" spans="2:15" ht="15.6" x14ac:dyDescent="0.3">
      <c r="B2" s="9" t="s">
        <v>56</v>
      </c>
    </row>
    <row r="3" spans="2:15" ht="15" thickBot="1" x14ac:dyDescent="0.35"/>
    <row r="4" spans="2:15" ht="18" customHeight="1" x14ac:dyDescent="0.3">
      <c r="B4" s="10"/>
      <c r="C4" s="11"/>
      <c r="D4" s="11"/>
      <c r="E4" s="11"/>
      <c r="F4" s="11"/>
      <c r="G4" s="11"/>
      <c r="H4" s="11"/>
      <c r="I4" s="11"/>
      <c r="J4" s="11"/>
      <c r="K4" s="11"/>
      <c r="L4" s="11"/>
      <c r="M4" s="11"/>
      <c r="N4" s="11"/>
      <c r="O4" s="12"/>
    </row>
    <row r="5" spans="2:15" ht="21.75" customHeight="1" x14ac:dyDescent="0.3">
      <c r="B5" s="13"/>
      <c r="N5" t="s">
        <v>42</v>
      </c>
      <c r="O5" s="14"/>
    </row>
    <row r="6" spans="2:15" ht="22.5" customHeight="1" x14ac:dyDescent="0.3">
      <c r="B6" s="13"/>
      <c r="O6" s="14"/>
    </row>
    <row r="7" spans="2:15" ht="25.8" x14ac:dyDescent="0.5">
      <c r="B7" s="13"/>
      <c r="G7" s="18"/>
      <c r="O7" s="14"/>
    </row>
    <row r="8" spans="2:15" ht="25.8" x14ac:dyDescent="0.3">
      <c r="B8" s="13"/>
      <c r="I8" s="20" t="s">
        <v>10</v>
      </c>
      <c r="O8" s="14"/>
    </row>
    <row r="9" spans="2:15" x14ac:dyDescent="0.3">
      <c r="B9" s="13"/>
      <c r="O9" s="14"/>
    </row>
    <row r="10" spans="2:15" x14ac:dyDescent="0.3">
      <c r="B10" s="13"/>
      <c r="O10" s="14"/>
    </row>
    <row r="11" spans="2:15" x14ac:dyDescent="0.3">
      <c r="B11" s="13"/>
      <c r="O11" s="14"/>
    </row>
    <row r="12" spans="2:15" x14ac:dyDescent="0.3">
      <c r="B12" s="13"/>
      <c r="O12" s="14"/>
    </row>
    <row r="13" spans="2:15" ht="15.6" x14ac:dyDescent="0.3">
      <c r="B13" s="13"/>
      <c r="C13" s="19" t="s">
        <v>11</v>
      </c>
      <c r="O13" s="14"/>
    </row>
    <row r="14" spans="2:15" ht="15.6" x14ac:dyDescent="0.3">
      <c r="B14" s="13"/>
      <c r="C14" s="19" t="s">
        <v>12</v>
      </c>
      <c r="O14" s="14"/>
    </row>
    <row r="15" spans="2:15" x14ac:dyDescent="0.3">
      <c r="B15" s="13"/>
      <c r="O15" s="14"/>
    </row>
    <row r="16" spans="2:15" x14ac:dyDescent="0.3">
      <c r="B16" s="13"/>
      <c r="O16" s="14"/>
    </row>
    <row r="17" spans="2:15" ht="19.2" x14ac:dyDescent="0.3">
      <c r="B17" s="13"/>
      <c r="C17" s="151" t="s">
        <v>13</v>
      </c>
      <c r="D17" s="151"/>
      <c r="E17" s="151"/>
      <c r="F17" s="151"/>
      <c r="O17" s="14"/>
    </row>
    <row r="18" spans="2:15" x14ac:dyDescent="0.3">
      <c r="B18" s="13"/>
      <c r="O18" s="14"/>
    </row>
    <row r="19" spans="2:15" ht="18" x14ac:dyDescent="0.35">
      <c r="B19" s="13"/>
      <c r="D19" s="19" t="s">
        <v>16</v>
      </c>
      <c r="G19" s="31" t="s">
        <v>14</v>
      </c>
      <c r="H19" s="31"/>
      <c r="I19" s="31"/>
      <c r="O19" s="14"/>
    </row>
    <row r="20" spans="2:15" ht="18" x14ac:dyDescent="0.35">
      <c r="B20" s="13"/>
      <c r="G20" s="25"/>
      <c r="H20" s="25"/>
      <c r="I20" s="25"/>
      <c r="O20" s="14"/>
    </row>
    <row r="21" spans="2:15" ht="18" x14ac:dyDescent="0.35">
      <c r="B21" s="13"/>
      <c r="D21" s="21"/>
      <c r="G21" s="25"/>
      <c r="H21" s="25"/>
      <c r="I21" s="25"/>
      <c r="O21" s="14"/>
    </row>
    <row r="22" spans="2:15" ht="19.2" x14ac:dyDescent="0.35">
      <c r="B22" s="13"/>
      <c r="C22" s="151" t="s">
        <v>21</v>
      </c>
      <c r="D22" s="151"/>
      <c r="E22" s="151"/>
      <c r="F22" s="151"/>
      <c r="G22" s="25"/>
      <c r="H22" s="25"/>
      <c r="I22" s="25"/>
      <c r="O22" s="14"/>
    </row>
    <row r="23" spans="2:15" ht="18" x14ac:dyDescent="0.35">
      <c r="B23" s="13"/>
      <c r="G23" s="25"/>
      <c r="H23" s="25"/>
      <c r="I23" s="25"/>
      <c r="O23" s="14"/>
    </row>
    <row r="24" spans="2:15" ht="18" x14ac:dyDescent="0.35">
      <c r="B24" s="13"/>
      <c r="D24" s="19" t="s">
        <v>22</v>
      </c>
      <c r="G24" s="171" t="s">
        <v>60</v>
      </c>
      <c r="H24" s="171"/>
      <c r="I24" s="171"/>
      <c r="O24" s="14"/>
    </row>
    <row r="25" spans="2:15" ht="18" x14ac:dyDescent="0.35">
      <c r="B25" s="13"/>
      <c r="G25" s="25"/>
      <c r="H25" s="25"/>
      <c r="I25" s="25"/>
      <c r="O25" s="14"/>
    </row>
    <row r="26" spans="2:15" ht="18" x14ac:dyDescent="0.35">
      <c r="B26" s="13"/>
      <c r="D26" s="19" t="s">
        <v>23</v>
      </c>
      <c r="G26" s="171" t="s">
        <v>61</v>
      </c>
      <c r="H26" s="171"/>
      <c r="I26" s="171"/>
      <c r="O26" s="14"/>
    </row>
    <row r="27" spans="2:15" ht="18" x14ac:dyDescent="0.35">
      <c r="B27" s="13"/>
      <c r="G27" s="25"/>
      <c r="H27" s="25"/>
      <c r="I27" s="25"/>
      <c r="O27" s="14"/>
    </row>
    <row r="28" spans="2:15" ht="18" x14ac:dyDescent="0.35">
      <c r="B28" s="13"/>
      <c r="D28" s="19" t="s">
        <v>24</v>
      </c>
      <c r="G28" s="172">
        <v>7879812241</v>
      </c>
      <c r="H28" s="172"/>
      <c r="I28" s="172"/>
      <c r="O28" s="14"/>
    </row>
    <row r="29" spans="2:15" ht="18" x14ac:dyDescent="0.35">
      <c r="B29" s="13"/>
      <c r="G29" s="25"/>
      <c r="H29" s="25"/>
      <c r="I29" s="25"/>
      <c r="O29" s="14"/>
    </row>
    <row r="30" spans="2:15" ht="18" x14ac:dyDescent="0.35">
      <c r="B30" s="13"/>
      <c r="D30" s="19" t="s">
        <v>25</v>
      </c>
      <c r="G30" s="154" t="s">
        <v>65</v>
      </c>
      <c r="H30" s="171"/>
      <c r="I30" s="171"/>
      <c r="O30" s="14"/>
    </row>
    <row r="31" spans="2:15" ht="18" x14ac:dyDescent="0.35">
      <c r="B31" s="13"/>
      <c r="G31" s="25"/>
      <c r="H31" s="25"/>
      <c r="I31" s="25"/>
      <c r="O31" s="14"/>
    </row>
    <row r="32" spans="2:15" x14ac:dyDescent="0.3">
      <c r="B32" s="13"/>
      <c r="O32" s="14"/>
    </row>
    <row r="33" spans="2:15" x14ac:dyDescent="0.3">
      <c r="B33" s="13"/>
      <c r="O33" s="14"/>
    </row>
    <row r="34" spans="2:15" ht="15.6" x14ac:dyDescent="0.3">
      <c r="B34" s="13"/>
      <c r="D34" s="19" t="s">
        <v>38</v>
      </c>
      <c r="O34" s="14"/>
    </row>
    <row r="35" spans="2:15" x14ac:dyDescent="0.3">
      <c r="B35" s="13"/>
      <c r="O35" s="14"/>
    </row>
    <row r="36" spans="2:15" x14ac:dyDescent="0.3">
      <c r="B36" s="13"/>
      <c r="O36" s="14"/>
    </row>
    <row r="37" spans="2:15" x14ac:dyDescent="0.3">
      <c r="B37" s="13"/>
      <c r="O37" s="14"/>
    </row>
    <row r="38" spans="2:15" x14ac:dyDescent="0.3">
      <c r="B38" s="13"/>
      <c r="O38" s="14"/>
    </row>
    <row r="39" spans="2:15" ht="17.25" customHeight="1" x14ac:dyDescent="0.3">
      <c r="B39" s="13"/>
      <c r="O39" s="14"/>
    </row>
    <row r="40" spans="2:15" ht="17.25" customHeight="1" x14ac:dyDescent="0.3">
      <c r="B40" s="13"/>
      <c r="O40" s="14"/>
    </row>
    <row r="41" spans="2:15" ht="15" customHeight="1" x14ac:dyDescent="0.3">
      <c r="B41" s="13"/>
      <c r="D41" s="149" t="s">
        <v>39</v>
      </c>
      <c r="E41" s="149"/>
      <c r="F41" s="149"/>
      <c r="G41" s="149"/>
      <c r="H41" s="149"/>
      <c r="I41" s="149"/>
      <c r="O41" s="14"/>
    </row>
    <row r="42" spans="2:15" x14ac:dyDescent="0.3">
      <c r="B42" s="13"/>
      <c r="O42" s="14"/>
    </row>
    <row r="43" spans="2:15" ht="15" customHeight="1" x14ac:dyDescent="0.3">
      <c r="B43" s="13"/>
      <c r="D43" s="149" t="s">
        <v>40</v>
      </c>
      <c r="E43" s="149"/>
      <c r="F43" s="149"/>
      <c r="G43" s="149"/>
      <c r="H43" s="149"/>
      <c r="I43" s="149"/>
      <c r="J43" s="149"/>
      <c r="O43" s="14"/>
    </row>
    <row r="44" spans="2:15" x14ac:dyDescent="0.3">
      <c r="B44" s="13"/>
      <c r="O44" s="14"/>
    </row>
    <row r="45" spans="2:15" x14ac:dyDescent="0.3">
      <c r="B45" s="13"/>
      <c r="O45" s="14"/>
    </row>
    <row r="46" spans="2:15" x14ac:dyDescent="0.3">
      <c r="B46" s="13"/>
      <c r="O46" s="14"/>
    </row>
    <row r="47" spans="2:15" x14ac:dyDescent="0.3">
      <c r="B47" s="13"/>
      <c r="O47" s="14"/>
    </row>
    <row r="48" spans="2:15" x14ac:dyDescent="0.3">
      <c r="B48" s="13"/>
      <c r="O48" s="14"/>
    </row>
    <row r="49" spans="2:15" x14ac:dyDescent="0.3">
      <c r="B49" s="13"/>
      <c r="O49" s="14"/>
    </row>
    <row r="50" spans="2:15" x14ac:dyDescent="0.3">
      <c r="B50" s="13"/>
      <c r="O50" s="14"/>
    </row>
    <row r="51" spans="2:15" ht="15.6" x14ac:dyDescent="0.3">
      <c r="B51" s="13"/>
      <c r="D51" s="19" t="s">
        <v>41</v>
      </c>
      <c r="O51" s="14"/>
    </row>
    <row r="52" spans="2:15" ht="15" thickBot="1" x14ac:dyDescent="0.35">
      <c r="B52" s="15"/>
      <c r="C52" s="16"/>
      <c r="D52" s="16"/>
      <c r="E52" s="16"/>
      <c r="F52" s="16"/>
      <c r="G52" s="16"/>
      <c r="H52" s="16"/>
      <c r="I52" s="16"/>
      <c r="J52" s="16"/>
      <c r="K52" s="16"/>
      <c r="L52" s="16"/>
      <c r="M52" s="16"/>
      <c r="N52" s="16"/>
      <c r="O52" s="17"/>
    </row>
    <row r="54" spans="2:15" x14ac:dyDescent="0.3">
      <c r="B54" s="3"/>
    </row>
  </sheetData>
  <mergeCells count="8">
    <mergeCell ref="C17:F17"/>
    <mergeCell ref="D41:I41"/>
    <mergeCell ref="D43:J43"/>
    <mergeCell ref="C22:F22"/>
    <mergeCell ref="G24:I24"/>
    <mergeCell ref="G26:I26"/>
    <mergeCell ref="G28:I28"/>
    <mergeCell ref="G30:I30"/>
  </mergeCells>
  <dataValidations count="1">
    <dataValidation type="list" allowBlank="1" showInputMessage="1" showErrorMessage="1" sqref="G19" xr:uid="{70CB47AA-1330-4796-8E01-2CCEC13F1590}">
      <formula1>"Comprar , Refinanciar"</formula1>
    </dataValidation>
  </dataValidations>
  <hyperlinks>
    <hyperlink ref="G30" r:id="rId1" xr:uid="{F994D04F-182A-4D43-887C-1C9C10CDB7ED}"/>
  </hyperlinks>
  <pageMargins left="0.7" right="0.7" top="0.75" bottom="0.75" header="0.3" footer="0.3"/>
  <pageSetup scale="48"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Sheet4.refi_submit">
                <anchor moveWithCells="1" sizeWithCells="1">
                  <from>
                    <xdr:col>6</xdr:col>
                    <xdr:colOff>883920</xdr:colOff>
                    <xdr:row>44</xdr:row>
                    <xdr:rowOff>175260</xdr:rowOff>
                  </from>
                  <to>
                    <xdr:col>8</xdr:col>
                    <xdr:colOff>670560</xdr:colOff>
                    <xdr:row>47</xdr:row>
                    <xdr:rowOff>121920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2B8-96E2-471B-97D6-AF00EB4323E5}">
  <sheetPr codeName="Sheet6">
    <pageSetUpPr fitToPage="1"/>
  </sheetPr>
  <dimension ref="B1:U31"/>
  <sheetViews>
    <sheetView showGridLines="0" zoomScale="74" zoomScaleNormal="80" workbookViewId="0">
      <selection activeCell="W18" sqref="W18"/>
    </sheetView>
  </sheetViews>
  <sheetFormatPr defaultRowHeight="14.4" x14ac:dyDescent="0.3"/>
  <cols>
    <col min="2" max="2" width="7.109375" customWidth="1"/>
    <col min="3" max="3" width="18" customWidth="1"/>
    <col min="4" max="4" width="14.88671875" customWidth="1"/>
    <col min="5" max="5" width="10" customWidth="1"/>
    <col min="6" max="6" width="18.109375" customWidth="1"/>
    <col min="13" max="13" width="11.6640625" customWidth="1"/>
    <col min="14" max="14" width="11" customWidth="1"/>
    <col min="16" max="16" width="11.44140625" bestFit="1" customWidth="1"/>
    <col min="21" max="21" width="7.6640625" customWidth="1"/>
  </cols>
  <sheetData>
    <row r="1" spans="2:21" ht="15" thickBot="1" x14ac:dyDescent="0.35"/>
    <row r="2" spans="2:21" x14ac:dyDescent="0.3">
      <c r="B2" s="24"/>
      <c r="C2" s="11"/>
      <c r="D2" s="11"/>
      <c r="E2" s="11"/>
      <c r="F2" s="11"/>
      <c r="G2" s="11"/>
      <c r="H2" s="11"/>
      <c r="I2" s="11"/>
      <c r="J2" s="11"/>
      <c r="K2" s="11"/>
      <c r="L2" s="11"/>
      <c r="M2" s="11"/>
      <c r="N2" s="11"/>
      <c r="O2" s="11"/>
      <c r="P2" s="11"/>
      <c r="Q2" s="11"/>
      <c r="R2" s="11"/>
      <c r="S2" s="11"/>
      <c r="T2" s="11"/>
      <c r="U2" s="12"/>
    </row>
    <row r="3" spans="2:21" x14ac:dyDescent="0.3">
      <c r="B3" s="13"/>
      <c r="U3" s="14"/>
    </row>
    <row r="4" spans="2:21" x14ac:dyDescent="0.3">
      <c r="B4" s="13"/>
      <c r="U4" s="14"/>
    </row>
    <row r="5" spans="2:21" x14ac:dyDescent="0.3">
      <c r="B5" s="13"/>
      <c r="U5" s="14"/>
    </row>
    <row r="6" spans="2:21" x14ac:dyDescent="0.3">
      <c r="B6" s="13"/>
      <c r="U6" s="14"/>
    </row>
    <row r="7" spans="2:21" x14ac:dyDescent="0.3">
      <c r="B7" s="13"/>
      <c r="U7" s="14"/>
    </row>
    <row r="8" spans="2:21" x14ac:dyDescent="0.3">
      <c r="B8" s="13"/>
      <c r="U8" s="14"/>
    </row>
    <row r="9" spans="2:21" x14ac:dyDescent="0.3">
      <c r="B9" s="13"/>
      <c r="U9" s="14"/>
    </row>
    <row r="10" spans="2:21" x14ac:dyDescent="0.3">
      <c r="B10" s="13"/>
      <c r="U10" s="14"/>
    </row>
    <row r="11" spans="2:21" x14ac:dyDescent="0.3">
      <c r="B11" s="13"/>
      <c r="U11" s="14"/>
    </row>
    <row r="12" spans="2:21" x14ac:dyDescent="0.3">
      <c r="B12" s="13"/>
      <c r="U12" s="14"/>
    </row>
    <row r="13" spans="2:21" ht="19.8" x14ac:dyDescent="0.4">
      <c r="B13" s="13"/>
      <c r="C13" s="27"/>
      <c r="U13" s="14"/>
    </row>
    <row r="14" spans="2:21" x14ac:dyDescent="0.3">
      <c r="B14" s="13"/>
      <c r="U14" s="14"/>
    </row>
    <row r="15" spans="2:21" ht="18" x14ac:dyDescent="0.35">
      <c r="B15" s="13"/>
      <c r="C15" s="26"/>
      <c r="U15" s="14"/>
    </row>
    <row r="16" spans="2:21" x14ac:dyDescent="0.3">
      <c r="B16" s="13"/>
      <c r="U16" s="14"/>
    </row>
    <row r="17" spans="2:21" x14ac:dyDescent="0.3">
      <c r="B17" s="13"/>
      <c r="U17" s="14"/>
    </row>
    <row r="18" spans="2:21" ht="100.5" customHeight="1" x14ac:dyDescent="0.3">
      <c r="B18" s="13"/>
      <c r="C18" s="175" t="s">
        <v>52</v>
      </c>
      <c r="D18" s="175"/>
      <c r="E18" s="175"/>
      <c r="F18" s="175"/>
      <c r="G18" s="175"/>
      <c r="H18" s="175"/>
      <c r="I18" s="175"/>
      <c r="J18" s="175"/>
      <c r="K18" s="175"/>
      <c r="L18" s="175"/>
      <c r="M18" s="175"/>
      <c r="N18" s="175"/>
      <c r="O18" s="175"/>
      <c r="P18" s="175"/>
      <c r="Q18" s="175"/>
      <c r="R18" s="175"/>
      <c r="S18" s="175"/>
      <c r="T18" s="175"/>
      <c r="U18" s="14"/>
    </row>
    <row r="19" spans="2:21" ht="18" x14ac:dyDescent="0.35">
      <c r="B19" s="13"/>
      <c r="C19" s="26"/>
      <c r="U19" s="14"/>
    </row>
    <row r="20" spans="2:21" ht="18" x14ac:dyDescent="0.35">
      <c r="B20" s="13"/>
      <c r="C20" s="25"/>
      <c r="F20" s="28"/>
      <c r="K20" s="25"/>
      <c r="P20" s="29"/>
      <c r="U20" s="14"/>
    </row>
    <row r="21" spans="2:21" ht="25.8" x14ac:dyDescent="0.35">
      <c r="B21" s="13"/>
      <c r="C21" s="25"/>
      <c r="F21" s="28"/>
      <c r="I21" s="20"/>
      <c r="K21" s="26"/>
      <c r="P21" s="28"/>
      <c r="U21" s="14"/>
    </row>
    <row r="22" spans="2:21" ht="18" x14ac:dyDescent="0.35">
      <c r="B22" s="13"/>
      <c r="C22" s="25"/>
      <c r="F22" s="28"/>
      <c r="K22" s="26"/>
      <c r="P22" s="28"/>
      <c r="U22" s="14"/>
    </row>
    <row r="23" spans="2:21" x14ac:dyDescent="0.3">
      <c r="B23" s="13"/>
      <c r="U23" s="14"/>
    </row>
    <row r="24" spans="2:21" ht="29.25" customHeight="1" x14ac:dyDescent="0.3">
      <c r="B24" s="13"/>
      <c r="C24" s="173" t="s">
        <v>51</v>
      </c>
      <c r="D24" s="174"/>
      <c r="E24" s="174"/>
      <c r="F24" s="174"/>
      <c r="G24" s="174"/>
      <c r="H24" s="174"/>
      <c r="I24" s="174"/>
      <c r="J24" s="174"/>
      <c r="K24" s="174"/>
      <c r="L24" s="174"/>
      <c r="M24" s="174"/>
      <c r="N24" s="174"/>
      <c r="O24" s="174"/>
      <c r="P24" s="174"/>
      <c r="Q24" s="174"/>
      <c r="R24" s="174"/>
      <c r="S24" s="174"/>
      <c r="T24" s="174"/>
      <c r="U24" s="14"/>
    </row>
    <row r="25" spans="2:21" ht="29.25" customHeight="1" x14ac:dyDescent="0.3">
      <c r="B25" s="13"/>
      <c r="C25" s="174"/>
      <c r="D25" s="174"/>
      <c r="E25" s="174"/>
      <c r="F25" s="174"/>
      <c r="G25" s="174"/>
      <c r="H25" s="174"/>
      <c r="I25" s="174"/>
      <c r="J25" s="174"/>
      <c r="K25" s="174"/>
      <c r="L25" s="174"/>
      <c r="M25" s="174"/>
      <c r="N25" s="174"/>
      <c r="O25" s="174"/>
      <c r="P25" s="174"/>
      <c r="Q25" s="174"/>
      <c r="R25" s="174"/>
      <c r="S25" s="174"/>
      <c r="T25" s="174"/>
      <c r="U25" s="14"/>
    </row>
    <row r="26" spans="2:21" x14ac:dyDescent="0.3">
      <c r="B26" s="13"/>
      <c r="U26" s="14"/>
    </row>
    <row r="27" spans="2:21" ht="18" x14ac:dyDescent="0.35">
      <c r="B27" s="13"/>
      <c r="C27" s="25"/>
      <c r="U27" s="14"/>
    </row>
    <row r="28" spans="2:21" x14ac:dyDescent="0.3">
      <c r="B28" s="13"/>
      <c r="U28" s="14"/>
    </row>
    <row r="29" spans="2:21" ht="18" x14ac:dyDescent="0.35">
      <c r="B29" s="13"/>
      <c r="C29" s="25"/>
      <c r="U29" s="14"/>
    </row>
    <row r="30" spans="2:21" x14ac:dyDescent="0.3">
      <c r="B30" s="13"/>
      <c r="U30" s="14"/>
    </row>
    <row r="31" spans="2:21" ht="15" thickBot="1" x14ac:dyDescent="0.35">
      <c r="B31" s="15"/>
      <c r="C31" s="16"/>
      <c r="D31" s="16"/>
      <c r="E31" s="16"/>
      <c r="F31" s="16"/>
      <c r="G31" s="16"/>
      <c r="H31" s="16"/>
      <c r="I31" s="16"/>
      <c r="J31" s="16"/>
      <c r="K31" s="16"/>
      <c r="L31" s="16"/>
      <c r="M31" s="16"/>
      <c r="N31" s="16"/>
      <c r="O31" s="16"/>
      <c r="P31" s="16"/>
      <c r="Q31" s="16"/>
      <c r="R31" s="16"/>
      <c r="S31" s="16"/>
      <c r="T31" s="16"/>
      <c r="U31" s="17"/>
    </row>
  </sheetData>
  <mergeCells count="2">
    <mergeCell ref="C24:T25"/>
    <mergeCell ref="C18:T18"/>
  </mergeCells>
  <pageMargins left="0.7" right="0.7" top="0.75" bottom="0.75" header="0.3" footer="0.3"/>
  <pageSetup scale="4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5D7D8-561D-4AFE-B678-B6CAD182B5C5}">
  <sheetPr codeName="Sheet8">
    <pageSetUpPr fitToPage="1"/>
  </sheetPr>
  <dimension ref="B1:U31"/>
  <sheetViews>
    <sheetView showGridLines="0" zoomScale="80" zoomScaleNormal="80" workbookViewId="0">
      <selection activeCell="J36" sqref="J36"/>
    </sheetView>
  </sheetViews>
  <sheetFormatPr defaultRowHeight="14.4" x14ac:dyDescent="0.3"/>
  <cols>
    <col min="2" max="2" width="7.109375" customWidth="1"/>
    <col min="3" max="3" width="18" customWidth="1"/>
    <col min="4" max="4" width="14.88671875" customWidth="1"/>
    <col min="5" max="5" width="10" customWidth="1"/>
    <col min="6" max="6" width="18.109375" customWidth="1"/>
    <col min="13" max="13" width="11.6640625" customWidth="1"/>
    <col min="14" max="14" width="11" customWidth="1"/>
    <col min="16" max="16" width="11.44140625" bestFit="1" customWidth="1"/>
    <col min="21" max="21" width="7.6640625" customWidth="1"/>
  </cols>
  <sheetData>
    <row r="1" spans="2:21" ht="15" thickBot="1" x14ac:dyDescent="0.35"/>
    <row r="2" spans="2:21" x14ac:dyDescent="0.3">
      <c r="B2" s="24"/>
      <c r="C2" s="11"/>
      <c r="D2" s="11"/>
      <c r="E2" s="11"/>
      <c r="F2" s="11"/>
      <c r="G2" s="11"/>
      <c r="H2" s="11"/>
      <c r="I2" s="11"/>
      <c r="J2" s="11"/>
      <c r="K2" s="11"/>
      <c r="L2" s="11"/>
      <c r="M2" s="11"/>
      <c r="N2" s="11"/>
      <c r="O2" s="11"/>
      <c r="P2" s="11"/>
      <c r="Q2" s="11"/>
      <c r="R2" s="11"/>
      <c r="S2" s="11"/>
      <c r="T2" s="11"/>
      <c r="U2" s="12"/>
    </row>
    <row r="3" spans="2:21" x14ac:dyDescent="0.3">
      <c r="B3" s="13"/>
      <c r="U3" s="14"/>
    </row>
    <row r="4" spans="2:21" x14ac:dyDescent="0.3">
      <c r="B4" s="13"/>
      <c r="U4" s="14"/>
    </row>
    <row r="5" spans="2:21" x14ac:dyDescent="0.3">
      <c r="B5" s="13"/>
      <c r="U5" s="14"/>
    </row>
    <row r="6" spans="2:21" x14ac:dyDescent="0.3">
      <c r="B6" s="13"/>
      <c r="U6" s="14"/>
    </row>
    <row r="7" spans="2:21" x14ac:dyDescent="0.3">
      <c r="B7" s="13"/>
      <c r="U7" s="14"/>
    </row>
    <row r="8" spans="2:21" x14ac:dyDescent="0.3">
      <c r="B8" s="13"/>
      <c r="U8" s="14"/>
    </row>
    <row r="9" spans="2:21" x14ac:dyDescent="0.3">
      <c r="B9" s="13"/>
      <c r="U9" s="14"/>
    </row>
    <row r="10" spans="2:21" x14ac:dyDescent="0.3">
      <c r="B10" s="13"/>
      <c r="U10" s="14"/>
    </row>
    <row r="11" spans="2:21" x14ac:dyDescent="0.3">
      <c r="B11" s="13"/>
      <c r="U11" s="14"/>
    </row>
    <row r="12" spans="2:21" x14ac:dyDescent="0.3">
      <c r="B12" s="13"/>
      <c r="U12" s="14"/>
    </row>
    <row r="13" spans="2:21" ht="19.8" x14ac:dyDescent="0.4">
      <c r="B13" s="13"/>
      <c r="C13" s="27"/>
      <c r="U13" s="14"/>
    </row>
    <row r="14" spans="2:21" x14ac:dyDescent="0.3">
      <c r="B14" s="13"/>
      <c r="U14" s="14"/>
    </row>
    <row r="15" spans="2:21" ht="18" x14ac:dyDescent="0.35">
      <c r="B15" s="13"/>
      <c r="C15" s="26"/>
      <c r="U15" s="14"/>
    </row>
    <row r="16" spans="2:21" x14ac:dyDescent="0.3">
      <c r="B16" s="13"/>
      <c r="U16" s="14"/>
    </row>
    <row r="17" spans="2:21" x14ac:dyDescent="0.3">
      <c r="B17" s="13"/>
      <c r="U17" s="14"/>
    </row>
    <row r="18" spans="2:21" ht="100.5" customHeight="1" x14ac:dyDescent="0.3">
      <c r="B18" s="13"/>
      <c r="C18" s="175" t="s">
        <v>54</v>
      </c>
      <c r="D18" s="175"/>
      <c r="E18" s="175"/>
      <c r="F18" s="175"/>
      <c r="G18" s="175"/>
      <c r="H18" s="175"/>
      <c r="I18" s="175"/>
      <c r="J18" s="175"/>
      <c r="K18" s="175"/>
      <c r="L18" s="175"/>
      <c r="M18" s="175"/>
      <c r="N18" s="175"/>
      <c r="O18" s="175"/>
      <c r="P18" s="175"/>
      <c r="Q18" s="175"/>
      <c r="R18" s="175"/>
      <c r="S18" s="175"/>
      <c r="T18" s="175"/>
      <c r="U18" s="14"/>
    </row>
    <row r="19" spans="2:21" ht="18" x14ac:dyDescent="0.35">
      <c r="B19" s="13"/>
      <c r="C19" s="26"/>
      <c r="U19" s="14"/>
    </row>
    <row r="20" spans="2:21" ht="18" x14ac:dyDescent="0.35">
      <c r="B20" s="13"/>
      <c r="C20" s="25"/>
      <c r="F20" s="28"/>
      <c r="K20" s="25"/>
      <c r="P20" s="29"/>
      <c r="U20" s="14"/>
    </row>
    <row r="21" spans="2:21" ht="25.8" x14ac:dyDescent="0.35">
      <c r="B21" s="13"/>
      <c r="C21" s="25"/>
      <c r="F21" s="28"/>
      <c r="I21" s="20"/>
      <c r="K21" s="26"/>
      <c r="P21" s="28"/>
      <c r="U21" s="14"/>
    </row>
    <row r="22" spans="2:21" ht="18" x14ac:dyDescent="0.35">
      <c r="B22" s="13"/>
      <c r="C22" s="25"/>
      <c r="F22" s="28"/>
      <c r="K22" s="26"/>
      <c r="P22" s="28"/>
      <c r="U22" s="14"/>
    </row>
    <row r="23" spans="2:21" x14ac:dyDescent="0.3">
      <c r="B23" s="13"/>
      <c r="U23" s="14"/>
    </row>
    <row r="24" spans="2:21" ht="29.25" customHeight="1" x14ac:dyDescent="0.3">
      <c r="B24" s="13"/>
      <c r="C24" s="173" t="s">
        <v>51</v>
      </c>
      <c r="D24" s="174"/>
      <c r="E24" s="174"/>
      <c r="F24" s="174"/>
      <c r="G24" s="174"/>
      <c r="H24" s="174"/>
      <c r="I24" s="174"/>
      <c r="J24" s="174"/>
      <c r="K24" s="174"/>
      <c r="L24" s="174"/>
      <c r="M24" s="174"/>
      <c r="N24" s="174"/>
      <c r="O24" s="174"/>
      <c r="P24" s="174"/>
      <c r="Q24" s="174"/>
      <c r="R24" s="174"/>
      <c r="S24" s="174"/>
      <c r="T24" s="174"/>
      <c r="U24" s="14"/>
    </row>
    <row r="25" spans="2:21" ht="29.25" customHeight="1" x14ac:dyDescent="0.3">
      <c r="B25" s="13"/>
      <c r="C25" s="174"/>
      <c r="D25" s="174"/>
      <c r="E25" s="174"/>
      <c r="F25" s="174"/>
      <c r="G25" s="174"/>
      <c r="H25" s="174"/>
      <c r="I25" s="174"/>
      <c r="J25" s="174"/>
      <c r="K25" s="174"/>
      <c r="L25" s="174"/>
      <c r="M25" s="174"/>
      <c r="N25" s="174"/>
      <c r="O25" s="174"/>
      <c r="P25" s="174"/>
      <c r="Q25" s="174"/>
      <c r="R25" s="174"/>
      <c r="S25" s="174"/>
      <c r="T25" s="174"/>
      <c r="U25" s="14"/>
    </row>
    <row r="26" spans="2:21" x14ac:dyDescent="0.3">
      <c r="B26" s="13"/>
      <c r="U26" s="14"/>
    </row>
    <row r="27" spans="2:21" ht="18" x14ac:dyDescent="0.35">
      <c r="B27" s="13"/>
      <c r="C27" s="25"/>
      <c r="U27" s="14"/>
    </row>
    <row r="28" spans="2:21" x14ac:dyDescent="0.3">
      <c r="B28" s="13"/>
      <c r="U28" s="14"/>
    </row>
    <row r="29" spans="2:21" ht="18" x14ac:dyDescent="0.35">
      <c r="B29" s="13"/>
      <c r="C29" s="25"/>
      <c r="U29" s="14"/>
    </row>
    <row r="30" spans="2:21" x14ac:dyDescent="0.3">
      <c r="B30" s="13"/>
      <c r="U30" s="14"/>
    </row>
    <row r="31" spans="2:21" ht="15" thickBot="1" x14ac:dyDescent="0.35">
      <c r="B31" s="15"/>
      <c r="C31" s="16"/>
      <c r="D31" s="16"/>
      <c r="E31" s="16"/>
      <c r="F31" s="16"/>
      <c r="G31" s="16"/>
      <c r="H31" s="16"/>
      <c r="I31" s="16"/>
      <c r="J31" s="16"/>
      <c r="K31" s="16"/>
      <c r="L31" s="16"/>
      <c r="M31" s="16"/>
      <c r="N31" s="16"/>
      <c r="O31" s="16"/>
      <c r="P31" s="16"/>
      <c r="Q31" s="16"/>
      <c r="R31" s="16"/>
      <c r="S31" s="16"/>
      <c r="T31" s="16"/>
      <c r="U31" s="17"/>
    </row>
  </sheetData>
  <mergeCells count="2">
    <mergeCell ref="C18:T18"/>
    <mergeCell ref="C24:T25"/>
  </mergeCells>
  <pageMargins left="0.7" right="0.7" top="0.75" bottom="0.75" header="0.3" footer="0.3"/>
  <pageSetup scale="56"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Prequal Engine</vt:lpstr>
      <vt:lpstr>Letter_MultiOffer_FinalVA</vt:lpstr>
      <vt:lpstr>FHA_HUD Loan Limits Reference</vt:lpstr>
      <vt:lpstr>FHA Monthly MI</vt:lpstr>
      <vt:lpstr>Refinance</vt:lpstr>
      <vt:lpstr>No Prequal</vt:lpstr>
      <vt:lpstr>Msg Refi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Jorlys Alvarado Morales</dc:creator>
  <cp:lastModifiedBy>Jorlys Alvarado Morales</cp:lastModifiedBy>
  <cp:lastPrinted>2024-08-12T15:39:42Z</cp:lastPrinted>
  <dcterms:created xsi:type="dcterms:W3CDTF">2024-04-10T16:03:11Z</dcterms:created>
  <dcterms:modified xsi:type="dcterms:W3CDTF">2024-08-12T21:19:34Z</dcterms:modified>
</cp:coreProperties>
</file>